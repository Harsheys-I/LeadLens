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gurupunvaanii.sharepoint.com/sites/GPPRepository/Shared Documents/GPP Backend Ops/Marketing/Lead Audit/"/>
    </mc:Choice>
  </mc:AlternateContent>
  <xr:revisionPtr revIDLastSave="11" documentId="13_ncr:1_{5D017B0D-B322-450B-A02F-6660CBF850EB}" xr6:coauthVersionLast="47" xr6:coauthVersionMax="47" xr10:uidLastSave="{001081BA-8F5D-4785-9555-575D1B3EF94B}"/>
  <bookViews>
    <workbookView xWindow="-28920" yWindow="-1230" windowWidth="29040" windowHeight="15720" activeTab="1" xr2:uid="{00000000-000D-0000-FFFF-FFFF00000000}"/>
  </bookViews>
  <sheets>
    <sheet name="Cover" sheetId="2" r:id="rId1"/>
    <sheet name="Raw Data" sheetId="1" r:id="rId2"/>
    <sheet name="Executive Dashboard" sheetId="3" r:id="rId3"/>
    <sheet name="Telecaller Performance" sheetId="4" r:id="rId4"/>
    <sheet name="Graphical Dashboard" sheetId="5" r:id="rId5"/>
    <sheet name="Detailed Error Report" sheetId="6" r:id="rId6"/>
  </sheets>
  <definedNames>
    <definedName name="Slicer_Error_Type">#N/A</definedName>
    <definedName name="Slicer_Lead_Registration_Date">#N/A</definedName>
    <definedName name="Slicer_Project_Name">#N/A</definedName>
    <definedName name="Slicer_Severity">#N/A</definedName>
    <definedName name="Slicer_Telecaller_Name">#N/A</definedName>
  </definedNames>
  <calcPr calcId="191029" calcComplete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 i="1" l="1"/>
  <c r="T37" i="1" s="1"/>
  <c r="U36" i="1"/>
  <c r="S36" i="1" s="1"/>
  <c r="U35" i="1"/>
  <c r="U34" i="1"/>
  <c r="S34" i="1" s="1"/>
  <c r="U33" i="1"/>
  <c r="T33" i="1" s="1"/>
  <c r="U32" i="1"/>
  <c r="U31" i="1"/>
  <c r="S31" i="1" s="1"/>
  <c r="U30" i="1"/>
  <c r="S30" i="1" s="1"/>
  <c r="U29" i="1"/>
  <c r="T29" i="1" s="1"/>
  <c r="U28" i="1"/>
  <c r="S28" i="1" s="1"/>
  <c r="U27" i="1"/>
  <c r="U26" i="1"/>
  <c r="S26" i="1" s="1"/>
  <c r="U25" i="1"/>
  <c r="T25" i="1" s="1"/>
  <c r="U24" i="1"/>
  <c r="T24" i="1" s="1"/>
  <c r="U23" i="1"/>
  <c r="U22" i="1"/>
  <c r="S22" i="1" s="1"/>
  <c r="U21" i="1"/>
  <c r="S21" i="1" s="1"/>
  <c r="U20" i="1"/>
  <c r="U19" i="1"/>
  <c r="S19" i="1" s="1"/>
  <c r="U18" i="1"/>
  <c r="T18" i="1" s="1"/>
  <c r="U17" i="1"/>
  <c r="T17" i="1" s="1"/>
  <c r="U16" i="1"/>
  <c r="U15" i="1"/>
  <c r="S15" i="1" s="1"/>
  <c r="U14" i="1"/>
  <c r="U13" i="1"/>
  <c r="T13" i="1" s="1"/>
  <c r="U12" i="1"/>
  <c r="T12" i="1" s="1"/>
  <c r="U11" i="1"/>
  <c r="U10" i="1"/>
  <c r="S10" i="1" s="1"/>
  <c r="U9" i="1"/>
  <c r="T9" i="1" s="1"/>
  <c r="U8" i="1"/>
  <c r="U7" i="1"/>
  <c r="T7" i="1" s="1"/>
  <c r="U6" i="1"/>
  <c r="T6" i="1" s="1"/>
  <c r="U5" i="1"/>
  <c r="T5" i="1" s="1"/>
  <c r="U4" i="1"/>
  <c r="U3" i="1"/>
  <c r="T3" i="1" s="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U2" i="1"/>
  <c r="S2" i="1" s="1"/>
  <c r="S4" i="1"/>
  <c r="R2" i="1"/>
  <c r="Q2" i="1"/>
  <c r="P2" i="1"/>
  <c r="C5" i="3"/>
  <c r="A5" i="3"/>
  <c r="AF31" i="1" a="1"/>
  <c r="AF31" i="1" s="1"/>
  <c r="AG31" i="1" s="1" a="1"/>
  <c r="AG31" i="1" s="1"/>
  <c r="AF30" i="1" a="1"/>
  <c r="AF30" i="1" s="1"/>
  <c r="AG30" i="1" s="1" a="1"/>
  <c r="AG30" i="1" s="1"/>
  <c r="AF29" i="1" a="1"/>
  <c r="AF29" i="1" s="1"/>
  <c r="AG29" i="1" s="1" a="1"/>
  <c r="AG29" i="1" s="1"/>
  <c r="AF28" i="1" a="1"/>
  <c r="AF28" i="1" s="1"/>
  <c r="AG28" i="1" s="1" a="1"/>
  <c r="AG28" i="1" s="1"/>
  <c r="AF27" i="1" a="1"/>
  <c r="AF27" i="1" s="1"/>
  <c r="AG27" i="1" s="1" a="1"/>
  <c r="AG27" i="1" s="1"/>
  <c r="AF26" i="1" a="1"/>
  <c r="AF26" i="1" s="1"/>
  <c r="AG26" i="1" s="1" a="1"/>
  <c r="AG26" i="1" s="1"/>
  <c r="AF25" i="1" a="1"/>
  <c r="AF25" i="1" s="1"/>
  <c r="AG25" i="1" s="1" a="1"/>
  <c r="AG25" i="1" s="1"/>
  <c r="AF24" i="1" a="1"/>
  <c r="AF24" i="1" s="1"/>
  <c r="AG24" i="1" s="1" a="1"/>
  <c r="AG24" i="1" s="1"/>
  <c r="AF23" i="1" a="1"/>
  <c r="AF23" i="1" s="1"/>
  <c r="AG23" i="1" s="1" a="1"/>
  <c r="AG23" i="1" s="1"/>
  <c r="AF22" i="1" a="1"/>
  <c r="AF22" i="1" s="1"/>
  <c r="AG22" i="1" s="1" a="1"/>
  <c r="AG22" i="1" s="1"/>
  <c r="AF21" i="1" a="1"/>
  <c r="AF21" i="1" s="1"/>
  <c r="AG21" i="1" s="1" a="1"/>
  <c r="AG21" i="1" s="1"/>
  <c r="AF20" i="1" a="1"/>
  <c r="AF20" i="1" s="1"/>
  <c r="AG20" i="1" s="1" a="1"/>
  <c r="AG20" i="1" s="1"/>
  <c r="AF19" i="1" a="1"/>
  <c r="AF19" i="1" s="1"/>
  <c r="AG19" i="1" s="1" a="1"/>
  <c r="AG19" i="1" s="1"/>
  <c r="AF18" i="1" a="1"/>
  <c r="AF18" i="1" s="1"/>
  <c r="AG18" i="1" s="1" a="1"/>
  <c r="AG18" i="1" s="1"/>
  <c r="AF17" i="1" a="1"/>
  <c r="AF17" i="1" s="1"/>
  <c r="AG17" i="1" s="1" a="1"/>
  <c r="AG17" i="1" s="1"/>
  <c r="AF16" i="1" a="1"/>
  <c r="AF16" i="1" s="1"/>
  <c r="AG16" i="1" s="1" a="1"/>
  <c r="AG16" i="1" s="1"/>
  <c r="AF15" i="1" a="1"/>
  <c r="AF15" i="1" s="1"/>
  <c r="AG15" i="1" s="1" a="1"/>
  <c r="AG15" i="1" s="1"/>
  <c r="AF14" i="1" a="1"/>
  <c r="AF14" i="1" s="1"/>
  <c r="AG14" i="1" s="1" a="1"/>
  <c r="AG14" i="1" s="1"/>
  <c r="AF13" i="1" a="1"/>
  <c r="AF13" i="1" s="1"/>
  <c r="AG13" i="1" s="1" a="1"/>
  <c r="AG13" i="1" s="1"/>
  <c r="AF12" i="1" a="1"/>
  <c r="AF12" i="1" s="1"/>
  <c r="AG12" i="1" s="1" a="1"/>
  <c r="AG12" i="1" s="1"/>
  <c r="AF11" i="1" a="1"/>
  <c r="AF11" i="1" s="1"/>
  <c r="AG11" i="1" s="1" a="1"/>
  <c r="AG11" i="1" s="1"/>
  <c r="AF10" i="1" a="1"/>
  <c r="AF10" i="1" s="1"/>
  <c r="AG10" i="1" s="1" a="1"/>
  <c r="AG10" i="1" s="1"/>
  <c r="AF9" i="1" a="1"/>
  <c r="AF9" i="1" s="1"/>
  <c r="AG9" i="1" s="1" a="1"/>
  <c r="AG9" i="1" s="1"/>
  <c r="AF8" i="1" a="1"/>
  <c r="AF8" i="1" s="1"/>
  <c r="AG8" i="1" s="1" a="1"/>
  <c r="AG8" i="1" s="1"/>
  <c r="AF7" i="1" a="1"/>
  <c r="AF7" i="1" s="1"/>
  <c r="AG7" i="1" s="1" a="1"/>
  <c r="AG7" i="1" s="1"/>
  <c r="AF6" i="1" a="1"/>
  <c r="AF6" i="1" s="1"/>
  <c r="AF5" i="1" a="1"/>
  <c r="AF5" i="1" s="1"/>
  <c r="AF4" i="1" a="1"/>
  <c r="AF4" i="1" s="1"/>
  <c r="AF3" i="1" a="1"/>
  <c r="AF3" i="1" s="1"/>
  <c r="AF2" i="1" a="1"/>
  <c r="AF2" i="1" s="1"/>
  <c r="AJ2" i="1" l="1" a="1"/>
  <c r="AJ2" i="1" s="1"/>
  <c r="AJ3" i="1" a="1"/>
  <c r="AJ3" i="1" s="1"/>
  <c r="AD7" i="1" a="1"/>
  <c r="AD7" i="1" s="1"/>
  <c r="AD8" i="1" a="1"/>
  <c r="AD8" i="1" s="1"/>
  <c r="AD5" i="1" a="1"/>
  <c r="AD5" i="1" s="1"/>
  <c r="AD6" i="1" a="1"/>
  <c r="AD6" i="1" s="1"/>
  <c r="AD2" i="1" a="1"/>
  <c r="AD2" i="1" s="1"/>
  <c r="AD4" i="1" a="1"/>
  <c r="AD4" i="1" s="1"/>
  <c r="AD3" i="1" a="1"/>
  <c r="AD3" i="1" s="1"/>
  <c r="S27" i="1"/>
  <c r="S8" i="1"/>
  <c r="S32" i="1"/>
  <c r="S20" i="1"/>
  <c r="A9" i="3" a="1"/>
  <c r="A9" i="3" s="1"/>
  <c r="C9" i="3" a="1"/>
  <c r="C9" i="3" s="1"/>
  <c r="S14" i="1"/>
  <c r="S16" i="1"/>
  <c r="T14" i="1"/>
  <c r="T26" i="1"/>
  <c r="T15" i="1"/>
  <c r="T27" i="1"/>
  <c r="S3" i="1"/>
  <c r="T4" i="1"/>
  <c r="T16" i="1"/>
  <c r="T28" i="1"/>
  <c r="T30" i="1"/>
  <c r="T19" i="1"/>
  <c r="T31" i="1"/>
  <c r="S35" i="1"/>
  <c r="S23" i="1"/>
  <c r="S11" i="1"/>
  <c r="T8" i="1"/>
  <c r="T20" i="1"/>
  <c r="T32" i="1"/>
  <c r="T21" i="1"/>
  <c r="S9" i="1"/>
  <c r="T10" i="1"/>
  <c r="T22" i="1"/>
  <c r="T34" i="1"/>
  <c r="T11" i="1"/>
  <c r="T23" i="1"/>
  <c r="T35" i="1"/>
  <c r="T36" i="1"/>
  <c r="S5" i="1"/>
  <c r="S13" i="1"/>
  <c r="S17" i="1"/>
  <c r="S24" i="1"/>
  <c r="S7" i="1"/>
  <c r="S18" i="1"/>
  <c r="S6" i="1"/>
  <c r="S29" i="1"/>
  <c r="S33" i="1"/>
  <c r="S12" i="1"/>
  <c r="S25" i="1"/>
  <c r="S37" i="1"/>
  <c r="T2" i="1"/>
  <c r="B40" i="6" a="1"/>
  <c r="B40" i="6" s="1"/>
  <c r="B34" i="6" a="1"/>
  <c r="B34" i="6" s="1"/>
  <c r="B103" i="6" a="1"/>
  <c r="B103" i="6" s="1"/>
  <c r="B97" i="6" a="1"/>
  <c r="B97" i="6" s="1"/>
  <c r="B91" i="6" a="1"/>
  <c r="B91" i="6" s="1"/>
  <c r="B85" i="6" a="1"/>
  <c r="B85" i="6" s="1"/>
  <c r="B79" i="6" a="1"/>
  <c r="B79" i="6" s="1"/>
  <c r="B73" i="6" a="1"/>
  <c r="B73" i="6" s="1"/>
  <c r="B67" i="6" a="1"/>
  <c r="B67" i="6" s="1"/>
  <c r="B55" i="6" a="1"/>
  <c r="B55" i="6" s="1"/>
  <c r="B49" i="6" a="1"/>
  <c r="B49" i="6" s="1"/>
  <c r="B37" i="6" a="1"/>
  <c r="B37" i="6" s="1"/>
  <c r="B25" i="6" a="1"/>
  <c r="B25" i="6" s="1"/>
  <c r="B13" i="6" a="1"/>
  <c r="B13" i="6" s="1"/>
  <c r="B78" i="6" a="1"/>
  <c r="B78" i="6" s="1"/>
  <c r="B60" i="6" a="1"/>
  <c r="B60" i="6" s="1"/>
  <c r="B48" i="6" a="1"/>
  <c r="B48" i="6" s="1"/>
  <c r="B30" i="6" a="1"/>
  <c r="B30" i="6" s="1"/>
  <c r="B12" i="6" a="1"/>
  <c r="B12" i="6" s="1"/>
  <c r="B105" i="6" a="1"/>
  <c r="B105" i="6" s="1"/>
  <c r="B99" i="6" a="1"/>
  <c r="B99" i="6" s="1"/>
  <c r="B93" i="6" a="1"/>
  <c r="B93" i="6" s="1"/>
  <c r="B87" i="6" a="1"/>
  <c r="B87" i="6" s="1"/>
  <c r="B81" i="6" a="1"/>
  <c r="B81" i="6" s="1"/>
  <c r="B75" i="6" a="1"/>
  <c r="B75" i="6" s="1"/>
  <c r="B69" i="6" a="1"/>
  <c r="B69" i="6" s="1"/>
  <c r="B63" i="6" a="1"/>
  <c r="B63" i="6" s="1"/>
  <c r="B57" i="6" a="1"/>
  <c r="B57" i="6" s="1"/>
  <c r="B51" i="6" a="1"/>
  <c r="B51" i="6" s="1"/>
  <c r="B45" i="6" a="1"/>
  <c r="B45" i="6" s="1"/>
  <c r="B39" i="6" a="1"/>
  <c r="B39" i="6" s="1"/>
  <c r="B33" i="6" a="1"/>
  <c r="B33" i="6" s="1"/>
  <c r="B27" i="6" a="1"/>
  <c r="B27" i="6" s="1"/>
  <c r="B21" i="6" a="1"/>
  <c r="B21" i="6" s="1"/>
  <c r="B15" i="6" a="1"/>
  <c r="B15" i="6" s="1"/>
  <c r="B9" i="6" a="1"/>
  <c r="B9" i="6" s="1"/>
  <c r="B61" i="6" a="1"/>
  <c r="B61" i="6" s="1"/>
  <c r="B43" i="6" a="1"/>
  <c r="B43" i="6" s="1"/>
  <c r="B31" i="6" a="1"/>
  <c r="B31" i="6" s="1"/>
  <c r="B19" i="6" a="1"/>
  <c r="B19" i="6" s="1"/>
  <c r="B7" i="6" a="1"/>
  <c r="B7" i="6" s="1"/>
  <c r="B101" i="6" a="1"/>
  <c r="B101" i="6" s="1"/>
  <c r="B95" i="6" a="1"/>
  <c r="B95" i="6" s="1"/>
  <c r="B89" i="6" a="1"/>
  <c r="B89" i="6" s="1"/>
  <c r="B83" i="6" a="1"/>
  <c r="B83" i="6" s="1"/>
  <c r="B77" i="6" a="1"/>
  <c r="B77" i="6" s="1"/>
  <c r="B71" i="6" a="1"/>
  <c r="B71" i="6" s="1"/>
  <c r="B65" i="6" a="1"/>
  <c r="B65" i="6" s="1"/>
  <c r="B59" i="6" a="1"/>
  <c r="B59" i="6" s="1"/>
  <c r="B53" i="6" a="1"/>
  <c r="B53" i="6" s="1"/>
  <c r="B47" i="6" a="1"/>
  <c r="B47" i="6" s="1"/>
  <c r="B41" i="6" a="1"/>
  <c r="B41" i="6" s="1"/>
  <c r="B29" i="6" a="1"/>
  <c r="B29" i="6" s="1"/>
  <c r="B23" i="6" a="1"/>
  <c r="B23" i="6" s="1"/>
  <c r="B11" i="6" a="1"/>
  <c r="B11" i="6" s="1"/>
  <c r="B102" i="6" a="1"/>
  <c r="B102" i="6" s="1"/>
  <c r="B96" i="6" a="1"/>
  <c r="B96" i="6" s="1"/>
  <c r="B90" i="6" a="1"/>
  <c r="B90" i="6" s="1"/>
  <c r="B72" i="6" a="1"/>
  <c r="B72" i="6" s="1"/>
  <c r="B66" i="6" a="1"/>
  <c r="B66" i="6" s="1"/>
  <c r="B54" i="6" a="1"/>
  <c r="B54" i="6" s="1"/>
  <c r="B36" i="6" a="1"/>
  <c r="B36" i="6" s="1"/>
  <c r="B24" i="6" a="1"/>
  <c r="B24" i="6" s="1"/>
  <c r="B35" i="6" a="1"/>
  <c r="B35" i="6" s="1"/>
  <c r="B17" i="6" a="1"/>
  <c r="B17" i="6" s="1"/>
  <c r="B104" i="6" a="1"/>
  <c r="B104" i="6" s="1"/>
  <c r="B98" i="6" a="1"/>
  <c r="B98" i="6" s="1"/>
  <c r="B92" i="6" a="1"/>
  <c r="B92" i="6" s="1"/>
  <c r="B86" i="6" a="1"/>
  <c r="B86" i="6" s="1"/>
  <c r="B80" i="6" a="1"/>
  <c r="B80" i="6" s="1"/>
  <c r="B74" i="6" a="1"/>
  <c r="B74" i="6" s="1"/>
  <c r="B68" i="6" a="1"/>
  <c r="B68" i="6" s="1"/>
  <c r="B62" i="6" a="1"/>
  <c r="B62" i="6" s="1"/>
  <c r="B56" i="6" a="1"/>
  <c r="B56" i="6" s="1"/>
  <c r="B50" i="6" a="1"/>
  <c r="B50" i="6" s="1"/>
  <c r="B44" i="6" a="1"/>
  <c r="B44" i="6" s="1"/>
  <c r="B38" i="6" a="1"/>
  <c r="B38" i="6" s="1"/>
  <c r="B32" i="6" a="1"/>
  <c r="B32" i="6" s="1"/>
  <c r="B26" i="6" a="1"/>
  <c r="B26" i="6" s="1"/>
  <c r="B20" i="6" a="1"/>
  <c r="B20" i="6" s="1"/>
  <c r="B14" i="6" a="1"/>
  <c r="B14" i="6" s="1"/>
  <c r="B8" i="6" a="1"/>
  <c r="B8" i="6" s="1"/>
  <c r="B84" i="6" a="1"/>
  <c r="B84" i="6" s="1"/>
  <c r="B42" i="6" a="1"/>
  <c r="B42" i="6" s="1"/>
  <c r="B18" i="6" a="1"/>
  <c r="B18" i="6" s="1"/>
  <c r="B10" i="6" a="1"/>
  <c r="B10" i="6" s="1"/>
  <c r="B64" i="6" a="1"/>
  <c r="B64" i="6" s="1"/>
  <c r="B76" i="6" a="1"/>
  <c r="B76" i="6" s="1"/>
  <c r="B82" i="6" a="1"/>
  <c r="B82" i="6" s="1"/>
  <c r="B16" i="6" a="1"/>
  <c r="B16" i="6" s="1"/>
  <c r="B88" i="6" a="1"/>
  <c r="B88" i="6" s="1"/>
  <c r="B46" i="6" a="1"/>
  <c r="B46" i="6" s="1"/>
  <c r="B52" i="6" a="1"/>
  <c r="B52" i="6" s="1"/>
  <c r="B70" i="6" a="1"/>
  <c r="B70" i="6" s="1"/>
  <c r="B22" i="6" a="1"/>
  <c r="B22" i="6" s="1"/>
  <c r="B94" i="6" a="1"/>
  <c r="B94" i="6" s="1"/>
  <c r="B58" i="6" a="1"/>
  <c r="B58" i="6" s="1"/>
  <c r="B28" i="6" a="1"/>
  <c r="B28" i="6" s="1"/>
  <c r="B100" i="6" a="1"/>
  <c r="B100" i="6" s="1"/>
  <c r="B6" i="6" a="1"/>
  <c r="B6" i="6" s="1"/>
  <c r="AG6" i="1" a="1"/>
  <c r="AG6" i="1" s="1"/>
  <c r="AG5" i="1" a="1"/>
  <c r="AG5" i="1" s="1"/>
  <c r="AG4" i="1" a="1"/>
  <c r="AG4" i="1" s="1"/>
  <c r="AG3" i="1" a="1"/>
  <c r="AG3" i="1" s="1"/>
  <c r="AG2" i="1" a="1"/>
  <c r="AG2" i="1" s="1"/>
  <c r="J66" i="6" a="1"/>
  <c r="J66" i="6" s="1"/>
  <c r="J47" i="6" a="1"/>
  <c r="J47" i="6" s="1"/>
  <c r="J22" i="6" a="1"/>
  <c r="J22" i="6" s="1"/>
  <c r="J48" i="6" a="1"/>
  <c r="J48" i="6" s="1"/>
  <c r="J94" i="6" a="1"/>
  <c r="J94" i="6" s="1"/>
  <c r="J10" i="6" a="1"/>
  <c r="J10" i="6" s="1"/>
  <c r="J52" i="6" a="1"/>
  <c r="J52" i="6" s="1"/>
  <c r="J65" i="6" a="1"/>
  <c r="J65" i="6" s="1"/>
  <c r="J78" i="6" a="1"/>
  <c r="J78" i="6" s="1"/>
  <c r="J23" i="6" a="1"/>
  <c r="J23" i="6" s="1"/>
  <c r="J36" i="6" a="1"/>
  <c r="J36" i="6" s="1"/>
  <c r="J82" i="6" a="1"/>
  <c r="J82" i="6" s="1"/>
  <c r="J95" i="6" a="1"/>
  <c r="J95" i="6" s="1"/>
  <c r="J18" i="6" a="1"/>
  <c r="J18" i="6" s="1"/>
  <c r="J64" i="6" a="1"/>
  <c r="J64" i="6" s="1"/>
  <c r="J77" i="6" a="1"/>
  <c r="J77" i="6" s="1"/>
  <c r="J90" i="6" a="1"/>
  <c r="J90" i="6" s="1"/>
  <c r="J35" i="6" a="1"/>
  <c r="J35" i="6" s="1"/>
  <c r="J11" i="6" a="1"/>
  <c r="J11" i="6" s="1"/>
  <c r="J40" i="6" a="1"/>
  <c r="J40" i="6" s="1"/>
  <c r="J53" i="6" a="1"/>
  <c r="J53" i="6" s="1"/>
  <c r="J34" i="6" a="1"/>
  <c r="J34" i="6" s="1"/>
  <c r="J60" i="6" a="1"/>
  <c r="J60" i="6" s="1"/>
  <c r="J24" i="6" a="1"/>
  <c r="J24" i="6" s="1"/>
  <c r="J70" i="6" a="1"/>
  <c r="J70" i="6" s="1"/>
  <c r="J83" i="6" a="1"/>
  <c r="J83" i="6" s="1"/>
  <c r="J96" i="6" a="1"/>
  <c r="J96" i="6" s="1"/>
  <c r="J12" i="6" a="1"/>
  <c r="J12" i="6" s="1"/>
  <c r="J28" i="6" a="1"/>
  <c r="J28" i="6" s="1"/>
  <c r="J41" i="6" a="1"/>
  <c r="J41" i="6" s="1"/>
  <c r="J54" i="6" a="1"/>
  <c r="J54" i="6" s="1"/>
  <c r="J100" i="6" a="1"/>
  <c r="J100" i="6" s="1"/>
  <c r="J58" i="6" a="1"/>
  <c r="J58" i="6" s="1"/>
  <c r="J71" i="6" a="1"/>
  <c r="J71" i="6" s="1"/>
  <c r="J84" i="6" a="1"/>
  <c r="J84" i="6" s="1"/>
  <c r="J19" i="6" a="1"/>
  <c r="J19" i="6" s="1"/>
  <c r="J37" i="6" a="1"/>
  <c r="J37" i="6" s="1"/>
  <c r="J13" i="6" a="1"/>
  <c r="J13" i="6" s="1"/>
  <c r="J103" i="6" a="1"/>
  <c r="J103" i="6" s="1"/>
  <c r="J97" i="6" a="1"/>
  <c r="J97" i="6" s="1"/>
  <c r="J91" i="6" a="1"/>
  <c r="J91" i="6" s="1"/>
  <c r="J85" i="6" a="1"/>
  <c r="J85" i="6" s="1"/>
  <c r="J79" i="6" a="1"/>
  <c r="J79" i="6" s="1"/>
  <c r="J73" i="6" a="1"/>
  <c r="J73" i="6" s="1"/>
  <c r="J67" i="6" a="1"/>
  <c r="J67" i="6" s="1"/>
  <c r="J61" i="6" a="1"/>
  <c r="J61" i="6" s="1"/>
  <c r="J55" i="6" a="1"/>
  <c r="J55" i="6" s="1"/>
  <c r="J49" i="6" a="1"/>
  <c r="J49" i="6" s="1"/>
  <c r="J43" i="6" a="1"/>
  <c r="J43" i="6" s="1"/>
  <c r="J31" i="6" a="1"/>
  <c r="J31" i="6" s="1"/>
  <c r="J25" i="6" a="1"/>
  <c r="J25" i="6" s="1"/>
  <c r="J7" i="6" a="1"/>
  <c r="J7" i="6" s="1"/>
  <c r="J16" i="6" a="1"/>
  <c r="J16" i="6" s="1"/>
  <c r="J29" i="6" a="1"/>
  <c r="J29" i="6" s="1"/>
  <c r="J42" i="6" a="1"/>
  <c r="J42" i="6" s="1"/>
  <c r="J88" i="6" a="1"/>
  <c r="J88" i="6" s="1"/>
  <c r="J101" i="6" a="1"/>
  <c r="J101" i="6" s="1"/>
  <c r="J46" i="6" a="1"/>
  <c r="J46" i="6" s="1"/>
  <c r="J59" i="6" a="1"/>
  <c r="J59" i="6" s="1"/>
  <c r="J72" i="6" a="1"/>
  <c r="J72" i="6" s="1"/>
  <c r="J17" i="6" a="1"/>
  <c r="J17" i="6" s="1"/>
  <c r="J30" i="6" a="1"/>
  <c r="J30" i="6" s="1"/>
  <c r="J76" i="6" a="1"/>
  <c r="J76" i="6" s="1"/>
  <c r="J89" i="6" a="1"/>
  <c r="J89" i="6" s="1"/>
  <c r="J102" i="6" a="1"/>
  <c r="J102" i="6" s="1"/>
  <c r="J8" i="6" a="1"/>
  <c r="J8" i="6" s="1"/>
  <c r="J14" i="6" a="1"/>
  <c r="J14" i="6" s="1"/>
  <c r="J20" i="6" a="1"/>
  <c r="J20" i="6" s="1"/>
  <c r="J26" i="6" a="1"/>
  <c r="J26" i="6" s="1"/>
  <c r="J32" i="6" a="1"/>
  <c r="J32" i="6" s="1"/>
  <c r="J38" i="6" a="1"/>
  <c r="J38" i="6" s="1"/>
  <c r="J44" i="6" a="1"/>
  <c r="J44" i="6" s="1"/>
  <c r="J50" i="6" a="1"/>
  <c r="J50" i="6" s="1"/>
  <c r="J56" i="6" a="1"/>
  <c r="J56" i="6" s="1"/>
  <c r="J62" i="6" a="1"/>
  <c r="J62" i="6" s="1"/>
  <c r="J68" i="6" a="1"/>
  <c r="J68" i="6" s="1"/>
  <c r="J74" i="6" a="1"/>
  <c r="J74" i="6" s="1"/>
  <c r="J80" i="6" a="1"/>
  <c r="J80" i="6" s="1"/>
  <c r="J86" i="6" a="1"/>
  <c r="J86" i="6" s="1"/>
  <c r="J92" i="6" a="1"/>
  <c r="J92" i="6" s="1"/>
  <c r="J98" i="6" a="1"/>
  <c r="J98" i="6" s="1"/>
  <c r="J104" i="6" a="1"/>
  <c r="J104" i="6" s="1"/>
  <c r="J9" i="6" a="1"/>
  <c r="J9" i="6" s="1"/>
  <c r="J15" i="6" a="1"/>
  <c r="J15" i="6" s="1"/>
  <c r="J21" i="6" a="1"/>
  <c r="J21" i="6" s="1"/>
  <c r="J27" i="6" a="1"/>
  <c r="J27" i="6" s="1"/>
  <c r="J33" i="6" a="1"/>
  <c r="J33" i="6" s="1"/>
  <c r="J39" i="6" a="1"/>
  <c r="J39" i="6" s="1"/>
  <c r="J45" i="6" a="1"/>
  <c r="J45" i="6" s="1"/>
  <c r="J51" i="6" a="1"/>
  <c r="J51" i="6" s="1"/>
  <c r="J57" i="6" a="1"/>
  <c r="J57" i="6" s="1"/>
  <c r="J63" i="6" a="1"/>
  <c r="J63" i="6" s="1"/>
  <c r="J69" i="6" a="1"/>
  <c r="J69" i="6" s="1"/>
  <c r="J75" i="6" a="1"/>
  <c r="J75" i="6" s="1"/>
  <c r="J81" i="6" a="1"/>
  <c r="J81" i="6" s="1"/>
  <c r="J87" i="6" a="1"/>
  <c r="J87" i="6" s="1"/>
  <c r="J93" i="6" a="1"/>
  <c r="J93" i="6" s="1"/>
  <c r="J99" i="6" a="1"/>
  <c r="J99" i="6" s="1"/>
  <c r="J105" i="6" a="1"/>
  <c r="J105" i="6" s="1"/>
  <c r="J6" i="6" a="1"/>
  <c r="J6" i="6" s="1"/>
  <c r="I101" i="6" a="1"/>
  <c r="I101" i="6" s="1"/>
  <c r="I17" i="6" a="1"/>
  <c r="I17" i="6" s="1"/>
  <c r="I35" i="6" a="1"/>
  <c r="I35" i="6" s="1"/>
  <c r="I59" i="6" a="1"/>
  <c r="I59" i="6" s="1"/>
  <c r="I71" i="6" a="1"/>
  <c r="I71" i="6" s="1"/>
  <c r="I95" i="6" a="1"/>
  <c r="I95" i="6" s="1"/>
  <c r="I12" i="6" a="1"/>
  <c r="I12" i="6" s="1"/>
  <c r="I18" i="6" a="1"/>
  <c r="I18" i="6" s="1"/>
  <c r="I24" i="6" a="1"/>
  <c r="I24" i="6" s="1"/>
  <c r="I30" i="6" a="1"/>
  <c r="I30" i="6" s="1"/>
  <c r="I36" i="6" a="1"/>
  <c r="I36" i="6" s="1"/>
  <c r="I42" i="6" a="1"/>
  <c r="I42" i="6" s="1"/>
  <c r="I48" i="6" a="1"/>
  <c r="I48" i="6" s="1"/>
  <c r="I54" i="6" a="1"/>
  <c r="I54" i="6" s="1"/>
  <c r="I60" i="6" a="1"/>
  <c r="I60" i="6" s="1"/>
  <c r="I66" i="6" a="1"/>
  <c r="I66" i="6" s="1"/>
  <c r="I72" i="6" a="1"/>
  <c r="I72" i="6" s="1"/>
  <c r="I78" i="6" a="1"/>
  <c r="I78" i="6" s="1"/>
  <c r="I84" i="6" a="1"/>
  <c r="I84" i="6" s="1"/>
  <c r="I90" i="6" a="1"/>
  <c r="I90" i="6" s="1"/>
  <c r="I96" i="6" a="1"/>
  <c r="I96" i="6" s="1"/>
  <c r="I102" i="6" a="1"/>
  <c r="I102" i="6" s="1"/>
  <c r="I10" i="6" a="1"/>
  <c r="I10" i="6" s="1"/>
  <c r="I52" i="6" a="1"/>
  <c r="I52" i="6" s="1"/>
  <c r="I8" i="6" a="1"/>
  <c r="I8" i="6" s="1"/>
  <c r="I14" i="6" a="1"/>
  <c r="I14" i="6" s="1"/>
  <c r="I20" i="6" a="1"/>
  <c r="I20" i="6" s="1"/>
  <c r="I26" i="6" a="1"/>
  <c r="I26" i="6" s="1"/>
  <c r="I32" i="6" a="1"/>
  <c r="I32" i="6" s="1"/>
  <c r="I38" i="6" a="1"/>
  <c r="I38" i="6" s="1"/>
  <c r="I44" i="6" a="1"/>
  <c r="I44" i="6" s="1"/>
  <c r="I50" i="6" a="1"/>
  <c r="I50" i="6" s="1"/>
  <c r="I56" i="6" a="1"/>
  <c r="I56" i="6" s="1"/>
  <c r="I62" i="6" a="1"/>
  <c r="I62" i="6" s="1"/>
  <c r="I68" i="6" a="1"/>
  <c r="I68" i="6" s="1"/>
  <c r="I74" i="6" a="1"/>
  <c r="I74" i="6" s="1"/>
  <c r="I80" i="6" a="1"/>
  <c r="I80" i="6" s="1"/>
  <c r="I86" i="6" a="1"/>
  <c r="I86" i="6" s="1"/>
  <c r="I92" i="6" a="1"/>
  <c r="I92" i="6" s="1"/>
  <c r="I98" i="6" a="1"/>
  <c r="I98" i="6" s="1"/>
  <c r="I104" i="6" a="1"/>
  <c r="I104" i="6" s="1"/>
  <c r="I16" i="6" a="1"/>
  <c r="I16" i="6" s="1"/>
  <c r="I28" i="6" a="1"/>
  <c r="I28" i="6" s="1"/>
  <c r="I40" i="6" a="1"/>
  <c r="I40" i="6" s="1"/>
  <c r="I46" i="6" a="1"/>
  <c r="I46" i="6" s="1"/>
  <c r="I64" i="6" a="1"/>
  <c r="I64" i="6" s="1"/>
  <c r="I70" i="6" a="1"/>
  <c r="I70" i="6" s="1"/>
  <c r="I76" i="6" a="1"/>
  <c r="I76" i="6" s="1"/>
  <c r="I82" i="6" a="1"/>
  <c r="I82" i="6" s="1"/>
  <c r="I88" i="6" a="1"/>
  <c r="I88" i="6" s="1"/>
  <c r="I94" i="6" a="1"/>
  <c r="I94" i="6" s="1"/>
  <c r="I100" i="6" a="1"/>
  <c r="I100" i="6" s="1"/>
  <c r="I11" i="6" a="1"/>
  <c r="I11" i="6" s="1"/>
  <c r="I41" i="6" a="1"/>
  <c r="I41" i="6" s="1"/>
  <c r="I7" i="6" a="1"/>
  <c r="I7" i="6" s="1"/>
  <c r="I19" i="6" a="1"/>
  <c r="I19" i="6" s="1"/>
  <c r="I25" i="6" a="1"/>
  <c r="I25" i="6" s="1"/>
  <c r="I31" i="6" a="1"/>
  <c r="I31" i="6" s="1"/>
  <c r="I43" i="6" a="1"/>
  <c r="I43" i="6" s="1"/>
  <c r="I49" i="6" a="1"/>
  <c r="I49" i="6" s="1"/>
  <c r="I55" i="6" a="1"/>
  <c r="I55" i="6" s="1"/>
  <c r="I61" i="6" a="1"/>
  <c r="I61" i="6" s="1"/>
  <c r="I73" i="6" a="1"/>
  <c r="I73" i="6" s="1"/>
  <c r="I79" i="6" a="1"/>
  <c r="I79" i="6" s="1"/>
  <c r="I85" i="6" a="1"/>
  <c r="I85" i="6" s="1"/>
  <c r="I91" i="6" a="1"/>
  <c r="I91" i="6" s="1"/>
  <c r="I97" i="6" a="1"/>
  <c r="I97" i="6" s="1"/>
  <c r="I103" i="6" a="1"/>
  <c r="I103" i="6" s="1"/>
  <c r="I53" i="6" a="1"/>
  <c r="I53" i="6" s="1"/>
  <c r="I13" i="6" a="1"/>
  <c r="I13" i="6" s="1"/>
  <c r="I37" i="6" a="1"/>
  <c r="I37" i="6" s="1"/>
  <c r="I67" i="6" a="1"/>
  <c r="I67" i="6" s="1"/>
  <c r="I9" i="6" a="1"/>
  <c r="I9" i="6" s="1"/>
  <c r="I15" i="6" a="1"/>
  <c r="I15" i="6" s="1"/>
  <c r="I21" i="6" a="1"/>
  <c r="I21" i="6" s="1"/>
  <c r="I27" i="6" a="1"/>
  <c r="I27" i="6" s="1"/>
  <c r="I33" i="6" a="1"/>
  <c r="I33" i="6" s="1"/>
  <c r="I39" i="6" a="1"/>
  <c r="I39" i="6" s="1"/>
  <c r="I45" i="6" a="1"/>
  <c r="I45" i="6" s="1"/>
  <c r="I51" i="6" a="1"/>
  <c r="I51" i="6" s="1"/>
  <c r="I57" i="6" a="1"/>
  <c r="I57" i="6" s="1"/>
  <c r="I63" i="6" a="1"/>
  <c r="I63" i="6" s="1"/>
  <c r="I69" i="6" a="1"/>
  <c r="I69" i="6" s="1"/>
  <c r="I75" i="6" a="1"/>
  <c r="I75" i="6" s="1"/>
  <c r="I81" i="6" a="1"/>
  <c r="I81" i="6" s="1"/>
  <c r="I87" i="6" a="1"/>
  <c r="I87" i="6" s="1"/>
  <c r="I93" i="6" a="1"/>
  <c r="I93" i="6" s="1"/>
  <c r="I99" i="6" a="1"/>
  <c r="I99" i="6" s="1"/>
  <c r="I105" i="6" a="1"/>
  <c r="I105" i="6" s="1"/>
  <c r="I22" i="6" a="1"/>
  <c r="I22" i="6" s="1"/>
  <c r="I34" i="6" a="1"/>
  <c r="I34" i="6" s="1"/>
  <c r="I58" i="6" a="1"/>
  <c r="I58" i="6" s="1"/>
  <c r="I23" i="6" a="1"/>
  <c r="I23" i="6" s="1"/>
  <c r="I29" i="6" a="1"/>
  <c r="I29" i="6" s="1"/>
  <c r="I47" i="6" a="1"/>
  <c r="I47" i="6" s="1"/>
  <c r="I65" i="6" a="1"/>
  <c r="I65" i="6" s="1"/>
  <c r="I77" i="6" a="1"/>
  <c r="I77" i="6" s="1"/>
  <c r="I83" i="6" a="1"/>
  <c r="I83" i="6" s="1"/>
  <c r="I89" i="6" a="1"/>
  <c r="I89" i="6" s="1"/>
  <c r="I6" i="6" a="1"/>
  <c r="I6" i="6" s="1"/>
  <c r="H58" i="6" a="1"/>
  <c r="H58" i="6" s="1"/>
  <c r="H94" i="6" a="1"/>
  <c r="H94" i="6" s="1"/>
  <c r="H64" i="6" a="1"/>
  <c r="H64" i="6" s="1"/>
  <c r="H28" i="6" a="1"/>
  <c r="H28" i="6" s="1"/>
  <c r="H34" i="6" a="1"/>
  <c r="H34" i="6" s="1"/>
  <c r="H76" i="6" a="1"/>
  <c r="H76" i="6" s="1"/>
  <c r="H82" i="6" a="1"/>
  <c r="H82" i="6" s="1"/>
  <c r="H10" i="6" a="1"/>
  <c r="H10" i="6" s="1"/>
  <c r="H46" i="6" a="1"/>
  <c r="H46" i="6" s="1"/>
  <c r="H16" i="6" a="1"/>
  <c r="H16" i="6" s="1"/>
  <c r="H52" i="6" a="1"/>
  <c r="H52" i="6" s="1"/>
  <c r="H22" i="6" a="1"/>
  <c r="H22" i="6" s="1"/>
  <c r="H103" i="6" a="1"/>
  <c r="H103" i="6" s="1"/>
  <c r="H97" i="6" a="1"/>
  <c r="H97" i="6" s="1"/>
  <c r="H91" i="6" a="1"/>
  <c r="H91" i="6" s="1"/>
  <c r="H85" i="6" a="1"/>
  <c r="H85" i="6" s="1"/>
  <c r="H79" i="6" a="1"/>
  <c r="H79" i="6" s="1"/>
  <c r="H73" i="6" a="1"/>
  <c r="H73" i="6" s="1"/>
  <c r="H67" i="6" a="1"/>
  <c r="H67" i="6" s="1"/>
  <c r="H61" i="6" a="1"/>
  <c r="H61" i="6" s="1"/>
  <c r="H49" i="6" a="1"/>
  <c r="H49" i="6" s="1"/>
  <c r="H37" i="6" a="1"/>
  <c r="H37" i="6" s="1"/>
  <c r="H25" i="6" a="1"/>
  <c r="H25" i="6" s="1"/>
  <c r="H13" i="6" a="1"/>
  <c r="H13" i="6" s="1"/>
  <c r="H101" i="6" a="1"/>
  <c r="H101" i="6" s="1"/>
  <c r="H95" i="6" a="1"/>
  <c r="H95" i="6" s="1"/>
  <c r="H89" i="6" a="1"/>
  <c r="H89" i="6" s="1"/>
  <c r="H83" i="6" a="1"/>
  <c r="H83" i="6" s="1"/>
  <c r="H77" i="6" a="1"/>
  <c r="H77" i="6" s="1"/>
  <c r="H71" i="6" a="1"/>
  <c r="H71" i="6" s="1"/>
  <c r="H65" i="6" a="1"/>
  <c r="H65" i="6" s="1"/>
  <c r="H59" i="6" a="1"/>
  <c r="H59" i="6" s="1"/>
  <c r="H53" i="6" a="1"/>
  <c r="H53" i="6" s="1"/>
  <c r="H47" i="6" a="1"/>
  <c r="H47" i="6" s="1"/>
  <c r="H41" i="6" a="1"/>
  <c r="H41" i="6" s="1"/>
  <c r="H35" i="6" a="1"/>
  <c r="H35" i="6" s="1"/>
  <c r="H29" i="6" a="1"/>
  <c r="H29" i="6" s="1"/>
  <c r="H23" i="6" a="1"/>
  <c r="H23" i="6" s="1"/>
  <c r="H17" i="6" a="1"/>
  <c r="H17" i="6" s="1"/>
  <c r="H55" i="6" a="1"/>
  <c r="H55" i="6" s="1"/>
  <c r="H43" i="6" a="1"/>
  <c r="H43" i="6" s="1"/>
  <c r="H31" i="6" a="1"/>
  <c r="H31" i="6" s="1"/>
  <c r="H19" i="6" a="1"/>
  <c r="H19" i="6" s="1"/>
  <c r="H7" i="6" a="1"/>
  <c r="H7" i="6" s="1"/>
  <c r="H102" i="6" a="1"/>
  <c r="H102" i="6" s="1"/>
  <c r="H96" i="6" a="1"/>
  <c r="H96" i="6" s="1"/>
  <c r="H84" i="6" a="1"/>
  <c r="H84" i="6" s="1"/>
  <c r="H78" i="6" a="1"/>
  <c r="H78" i="6" s="1"/>
  <c r="H72" i="6" a="1"/>
  <c r="H72" i="6" s="1"/>
  <c r="H66" i="6" a="1"/>
  <c r="H66" i="6" s="1"/>
  <c r="H54" i="6" a="1"/>
  <c r="H54" i="6" s="1"/>
  <c r="H48" i="6" a="1"/>
  <c r="H48" i="6" s="1"/>
  <c r="H36" i="6" a="1"/>
  <c r="H36" i="6" s="1"/>
  <c r="H24" i="6" a="1"/>
  <c r="H24" i="6" s="1"/>
  <c r="H12" i="6" a="1"/>
  <c r="H12" i="6" s="1"/>
  <c r="H11" i="6" a="1"/>
  <c r="H11" i="6" s="1"/>
  <c r="H90" i="6" a="1"/>
  <c r="H90" i="6" s="1"/>
  <c r="H60" i="6" a="1"/>
  <c r="H60" i="6" s="1"/>
  <c r="H42" i="6" a="1"/>
  <c r="H42" i="6" s="1"/>
  <c r="H30" i="6" a="1"/>
  <c r="H30" i="6" s="1"/>
  <c r="H18" i="6" a="1"/>
  <c r="H18" i="6" s="1"/>
  <c r="H70" i="6" a="1"/>
  <c r="H70" i="6" s="1"/>
  <c r="H40" i="6" a="1"/>
  <c r="H40" i="6" s="1"/>
  <c r="H88" i="6" a="1"/>
  <c r="H88" i="6" s="1"/>
  <c r="H100" i="6" a="1"/>
  <c r="H100" i="6" s="1"/>
  <c r="H8" i="6" a="1"/>
  <c r="H8" i="6" s="1"/>
  <c r="H20" i="6" a="1"/>
  <c r="H20" i="6" s="1"/>
  <c r="H32" i="6" a="1"/>
  <c r="H32" i="6" s="1"/>
  <c r="H44" i="6" a="1"/>
  <c r="H44" i="6" s="1"/>
  <c r="H56" i="6" a="1"/>
  <c r="H56" i="6" s="1"/>
  <c r="H62" i="6" a="1"/>
  <c r="H62" i="6" s="1"/>
  <c r="H68" i="6" a="1"/>
  <c r="H68" i="6" s="1"/>
  <c r="H74" i="6" a="1"/>
  <c r="H74" i="6" s="1"/>
  <c r="H80" i="6" a="1"/>
  <c r="H80" i="6" s="1"/>
  <c r="H92" i="6" a="1"/>
  <c r="H92" i="6" s="1"/>
  <c r="H98" i="6" a="1"/>
  <c r="H98" i="6" s="1"/>
  <c r="H104" i="6" a="1"/>
  <c r="H104" i="6" s="1"/>
  <c r="H9" i="6" a="1"/>
  <c r="H9" i="6" s="1"/>
  <c r="H15" i="6" a="1"/>
  <c r="H15" i="6" s="1"/>
  <c r="H21" i="6" a="1"/>
  <c r="H21" i="6" s="1"/>
  <c r="H27" i="6" a="1"/>
  <c r="H27" i="6" s="1"/>
  <c r="H33" i="6" a="1"/>
  <c r="H33" i="6" s="1"/>
  <c r="H39" i="6" a="1"/>
  <c r="H39" i="6" s="1"/>
  <c r="H45" i="6" a="1"/>
  <c r="H45" i="6" s="1"/>
  <c r="H51" i="6" a="1"/>
  <c r="H51" i="6" s="1"/>
  <c r="H57" i="6" a="1"/>
  <c r="H57" i="6" s="1"/>
  <c r="H63" i="6" a="1"/>
  <c r="H63" i="6" s="1"/>
  <c r="H69" i="6" a="1"/>
  <c r="H69" i="6" s="1"/>
  <c r="H75" i="6" a="1"/>
  <c r="H75" i="6" s="1"/>
  <c r="H81" i="6" a="1"/>
  <c r="H81" i="6" s="1"/>
  <c r="H87" i="6" a="1"/>
  <c r="H87" i="6" s="1"/>
  <c r="H93" i="6" a="1"/>
  <c r="H93" i="6" s="1"/>
  <c r="H99" i="6" a="1"/>
  <c r="H99" i="6" s="1"/>
  <c r="H105" i="6" a="1"/>
  <c r="H105" i="6" s="1"/>
  <c r="H14" i="6" a="1"/>
  <c r="H14" i="6" s="1"/>
  <c r="H26" i="6" a="1"/>
  <c r="H26" i="6" s="1"/>
  <c r="H38" i="6" a="1"/>
  <c r="H38" i="6" s="1"/>
  <c r="H50" i="6" a="1"/>
  <c r="H50" i="6" s="1"/>
  <c r="H86" i="6" a="1"/>
  <c r="H86" i="6" s="1"/>
  <c r="H6" i="6" a="1"/>
  <c r="H6" i="6" s="1"/>
  <c r="G82" i="6" a="1"/>
  <c r="G82" i="6" s="1"/>
  <c r="G76" i="6" a="1"/>
  <c r="G76" i="6" s="1"/>
  <c r="G70" i="6" a="1"/>
  <c r="G70" i="6" s="1"/>
  <c r="G41" i="6" a="1"/>
  <c r="G41" i="6" s="1"/>
  <c r="G103" i="6" a="1"/>
  <c r="G103" i="6" s="1"/>
  <c r="G97" i="6" a="1"/>
  <c r="G97" i="6" s="1"/>
  <c r="G91" i="6" a="1"/>
  <c r="G91" i="6" s="1"/>
  <c r="G85" i="6" a="1"/>
  <c r="G85" i="6" s="1"/>
  <c r="G79" i="6" a="1"/>
  <c r="G79" i="6" s="1"/>
  <c r="G73" i="6" a="1"/>
  <c r="G73" i="6" s="1"/>
  <c r="G67" i="6" a="1"/>
  <c r="G67" i="6" s="1"/>
  <c r="G61" i="6" a="1"/>
  <c r="G61" i="6" s="1"/>
  <c r="G55" i="6" a="1"/>
  <c r="G55" i="6" s="1"/>
  <c r="G49" i="6" a="1"/>
  <c r="G49" i="6" s="1"/>
  <c r="G43" i="6" a="1"/>
  <c r="G43" i="6" s="1"/>
  <c r="G37" i="6" a="1"/>
  <c r="G37" i="6" s="1"/>
  <c r="G31" i="6" a="1"/>
  <c r="G31" i="6" s="1"/>
  <c r="G25" i="6" a="1"/>
  <c r="G25" i="6" s="1"/>
  <c r="G13" i="6" a="1"/>
  <c r="G13" i="6" s="1"/>
  <c r="G7" i="6" a="1"/>
  <c r="G7" i="6" s="1"/>
  <c r="G101" i="6" a="1"/>
  <c r="G101" i="6" s="1"/>
  <c r="G95" i="6" a="1"/>
  <c r="G95" i="6" s="1"/>
  <c r="G89" i="6" a="1"/>
  <c r="G89" i="6" s="1"/>
  <c r="G83" i="6" a="1"/>
  <c r="G83" i="6" s="1"/>
  <c r="G77" i="6" a="1"/>
  <c r="G77" i="6" s="1"/>
  <c r="G71" i="6" a="1"/>
  <c r="G71" i="6" s="1"/>
  <c r="G65" i="6" a="1"/>
  <c r="G65" i="6" s="1"/>
  <c r="G59" i="6" a="1"/>
  <c r="G59" i="6" s="1"/>
  <c r="G53" i="6" a="1"/>
  <c r="G53" i="6" s="1"/>
  <c r="G19" i="6" a="1"/>
  <c r="G19" i="6" s="1"/>
  <c r="G102" i="6" a="1"/>
  <c r="G102" i="6" s="1"/>
  <c r="G96" i="6" a="1"/>
  <c r="G96" i="6" s="1"/>
  <c r="G90" i="6" a="1"/>
  <c r="G90" i="6" s="1"/>
  <c r="G78" i="6" a="1"/>
  <c r="G78" i="6" s="1"/>
  <c r="G72" i="6" a="1"/>
  <c r="G72" i="6" s="1"/>
  <c r="G66" i="6" a="1"/>
  <c r="G66" i="6" s="1"/>
  <c r="G60" i="6" a="1"/>
  <c r="G60" i="6" s="1"/>
  <c r="G54" i="6" a="1"/>
  <c r="G54" i="6" s="1"/>
  <c r="G42" i="6" a="1"/>
  <c r="G42" i="6" s="1"/>
  <c r="G36" i="6" a="1"/>
  <c r="G36" i="6" s="1"/>
  <c r="G24" i="6" a="1"/>
  <c r="G24" i="6" s="1"/>
  <c r="G18" i="6" a="1"/>
  <c r="G18" i="6" s="1"/>
  <c r="G84" i="6" a="1"/>
  <c r="G84" i="6" s="1"/>
  <c r="G48" i="6" a="1"/>
  <c r="G48" i="6" s="1"/>
  <c r="G30" i="6" a="1"/>
  <c r="G30" i="6" s="1"/>
  <c r="G12" i="6" a="1"/>
  <c r="G12" i="6" s="1"/>
  <c r="G46" i="6" a="1"/>
  <c r="G46" i="6" s="1"/>
  <c r="G47" i="6" a="1"/>
  <c r="G47" i="6" s="1"/>
  <c r="G16" i="6" a="1"/>
  <c r="G16" i="6" s="1"/>
  <c r="G22" i="6" a="1"/>
  <c r="G22" i="6" s="1"/>
  <c r="G88" i="6" a="1"/>
  <c r="G88" i="6" s="1"/>
  <c r="G94" i="6" a="1"/>
  <c r="G94" i="6" s="1"/>
  <c r="G40" i="6" a="1"/>
  <c r="G40" i="6" s="1"/>
  <c r="G17" i="6" a="1"/>
  <c r="G17" i="6" s="1"/>
  <c r="G23" i="6" a="1"/>
  <c r="G23" i="6" s="1"/>
  <c r="G52" i="6" a="1"/>
  <c r="G52" i="6" s="1"/>
  <c r="G29" i="6" a="1"/>
  <c r="G29" i="6" s="1"/>
  <c r="G58" i="6" a="1"/>
  <c r="G58" i="6" s="1"/>
  <c r="G10" i="6" a="1"/>
  <c r="G10" i="6" s="1"/>
  <c r="G34" i="6" a="1"/>
  <c r="G34" i="6" s="1"/>
  <c r="G64" i="6" a="1"/>
  <c r="G64" i="6" s="1"/>
  <c r="G100" i="6" a="1"/>
  <c r="G100" i="6" s="1"/>
  <c r="G28" i="6" a="1"/>
  <c r="G28" i="6" s="1"/>
  <c r="G11" i="6" a="1"/>
  <c r="G11" i="6" s="1"/>
  <c r="G35" i="6" a="1"/>
  <c r="G35" i="6" s="1"/>
  <c r="G14" i="6" a="1"/>
  <c r="G14" i="6" s="1"/>
  <c r="G26" i="6" a="1"/>
  <c r="G26" i="6" s="1"/>
  <c r="G38" i="6" a="1"/>
  <c r="G38" i="6" s="1"/>
  <c r="G50" i="6" a="1"/>
  <c r="G50" i="6" s="1"/>
  <c r="G62" i="6" a="1"/>
  <c r="G62" i="6" s="1"/>
  <c r="G74" i="6" a="1"/>
  <c r="G74" i="6" s="1"/>
  <c r="G98" i="6" a="1"/>
  <c r="G98" i="6" s="1"/>
  <c r="G9" i="6" a="1"/>
  <c r="G9" i="6" s="1"/>
  <c r="G15" i="6" a="1"/>
  <c r="G15" i="6" s="1"/>
  <c r="G21" i="6" a="1"/>
  <c r="G21" i="6" s="1"/>
  <c r="G27" i="6" a="1"/>
  <c r="G27" i="6" s="1"/>
  <c r="G33" i="6" a="1"/>
  <c r="G33" i="6" s="1"/>
  <c r="G39" i="6" a="1"/>
  <c r="G39" i="6" s="1"/>
  <c r="G45" i="6" a="1"/>
  <c r="G45" i="6" s="1"/>
  <c r="G51" i="6" a="1"/>
  <c r="G51" i="6" s="1"/>
  <c r="G57" i="6" a="1"/>
  <c r="G57" i="6" s="1"/>
  <c r="G63" i="6" a="1"/>
  <c r="G63" i="6" s="1"/>
  <c r="G69" i="6" a="1"/>
  <c r="G69" i="6" s="1"/>
  <c r="G75" i="6" a="1"/>
  <c r="G75" i="6" s="1"/>
  <c r="G81" i="6" a="1"/>
  <c r="G81" i="6" s="1"/>
  <c r="G87" i="6" a="1"/>
  <c r="G87" i="6" s="1"/>
  <c r="G93" i="6" a="1"/>
  <c r="G93" i="6" s="1"/>
  <c r="G99" i="6" a="1"/>
  <c r="G99" i="6" s="1"/>
  <c r="G105" i="6" a="1"/>
  <c r="G105" i="6" s="1"/>
  <c r="G8" i="6" a="1"/>
  <c r="G8" i="6" s="1"/>
  <c r="G20" i="6" a="1"/>
  <c r="G20" i="6" s="1"/>
  <c r="G32" i="6" a="1"/>
  <c r="G32" i="6" s="1"/>
  <c r="G44" i="6" a="1"/>
  <c r="G44" i="6" s="1"/>
  <c r="G56" i="6" a="1"/>
  <c r="G56" i="6" s="1"/>
  <c r="G68" i="6" a="1"/>
  <c r="G68" i="6" s="1"/>
  <c r="G80" i="6" a="1"/>
  <c r="G80" i="6" s="1"/>
  <c r="G86" i="6" a="1"/>
  <c r="G86" i="6" s="1"/>
  <c r="G92" i="6" a="1"/>
  <c r="G92" i="6" s="1"/>
  <c r="G104" i="6" a="1"/>
  <c r="G104" i="6" s="1"/>
  <c r="G6" i="6" a="1"/>
  <c r="G6" i="6" s="1"/>
  <c r="F101" i="6" a="1"/>
  <c r="F101" i="6" s="1"/>
  <c r="F12" i="6" a="1"/>
  <c r="F12" i="6" s="1"/>
  <c r="F18" i="6" a="1"/>
  <c r="F18" i="6" s="1"/>
  <c r="F24" i="6" a="1"/>
  <c r="F24" i="6" s="1"/>
  <c r="F30" i="6" a="1"/>
  <c r="F30" i="6" s="1"/>
  <c r="F36" i="6" a="1"/>
  <c r="F36" i="6" s="1"/>
  <c r="F42" i="6" a="1"/>
  <c r="F42" i="6" s="1"/>
  <c r="F48" i="6" a="1"/>
  <c r="F48" i="6" s="1"/>
  <c r="F54" i="6" a="1"/>
  <c r="F54" i="6" s="1"/>
  <c r="F60" i="6" a="1"/>
  <c r="F60" i="6" s="1"/>
  <c r="F66" i="6" a="1"/>
  <c r="F66" i="6" s="1"/>
  <c r="F72" i="6" a="1"/>
  <c r="F72" i="6" s="1"/>
  <c r="F78" i="6" a="1"/>
  <c r="F78" i="6" s="1"/>
  <c r="F84" i="6" a="1"/>
  <c r="F84" i="6" s="1"/>
  <c r="F90" i="6" a="1"/>
  <c r="F90" i="6" s="1"/>
  <c r="F96" i="6" a="1"/>
  <c r="F96" i="6" s="1"/>
  <c r="F102" i="6" a="1"/>
  <c r="F102" i="6" s="1"/>
  <c r="F16" i="6" a="1"/>
  <c r="F16" i="6" s="1"/>
  <c r="F28" i="6" a="1"/>
  <c r="F28" i="6" s="1"/>
  <c r="F46" i="6" a="1"/>
  <c r="F46" i="6" s="1"/>
  <c r="F58" i="6" a="1"/>
  <c r="F58" i="6" s="1"/>
  <c r="F70" i="6" a="1"/>
  <c r="F70" i="6" s="1"/>
  <c r="F82" i="6" a="1"/>
  <c r="F82" i="6" s="1"/>
  <c r="F88" i="6" a="1"/>
  <c r="F88" i="6" s="1"/>
  <c r="F100" i="6" a="1"/>
  <c r="F100" i="6" s="1"/>
  <c r="F10" i="6" a="1"/>
  <c r="F10" i="6" s="1"/>
  <c r="F34" i="6" a="1"/>
  <c r="F34" i="6" s="1"/>
  <c r="F52" i="6" a="1"/>
  <c r="F52" i="6" s="1"/>
  <c r="F11" i="6" a="1"/>
  <c r="F11" i="6" s="1"/>
  <c r="F23" i="6" a="1"/>
  <c r="F23" i="6" s="1"/>
  <c r="F35" i="6" a="1"/>
  <c r="F35" i="6" s="1"/>
  <c r="F47" i="6" a="1"/>
  <c r="F47" i="6" s="1"/>
  <c r="F7" i="6" a="1"/>
  <c r="F7" i="6" s="1"/>
  <c r="F13" i="6" a="1"/>
  <c r="F13" i="6" s="1"/>
  <c r="F19" i="6" a="1"/>
  <c r="F19" i="6" s="1"/>
  <c r="F25" i="6" a="1"/>
  <c r="F25" i="6" s="1"/>
  <c r="F31" i="6" a="1"/>
  <c r="F31" i="6" s="1"/>
  <c r="F37" i="6" a="1"/>
  <c r="F37" i="6" s="1"/>
  <c r="F43" i="6" a="1"/>
  <c r="F43" i="6" s="1"/>
  <c r="F49" i="6" a="1"/>
  <c r="F49" i="6" s="1"/>
  <c r="F55" i="6" a="1"/>
  <c r="F55" i="6" s="1"/>
  <c r="F61" i="6" a="1"/>
  <c r="F61" i="6" s="1"/>
  <c r="F67" i="6" a="1"/>
  <c r="F67" i="6" s="1"/>
  <c r="F73" i="6" a="1"/>
  <c r="F73" i="6" s="1"/>
  <c r="F79" i="6" a="1"/>
  <c r="F79" i="6" s="1"/>
  <c r="F85" i="6" a="1"/>
  <c r="F85" i="6" s="1"/>
  <c r="F91" i="6" a="1"/>
  <c r="F91" i="6" s="1"/>
  <c r="F97" i="6" a="1"/>
  <c r="F97" i="6" s="1"/>
  <c r="F103" i="6" a="1"/>
  <c r="F103" i="6" s="1"/>
  <c r="F9" i="6" a="1"/>
  <c r="F9" i="6" s="1"/>
  <c r="F15" i="6" a="1"/>
  <c r="F15" i="6" s="1"/>
  <c r="F21" i="6" a="1"/>
  <c r="F21" i="6" s="1"/>
  <c r="F27" i="6" a="1"/>
  <c r="F27" i="6" s="1"/>
  <c r="F33" i="6" a="1"/>
  <c r="F33" i="6" s="1"/>
  <c r="F39" i="6" a="1"/>
  <c r="F39" i="6" s="1"/>
  <c r="F45" i="6" a="1"/>
  <c r="F45" i="6" s="1"/>
  <c r="F51" i="6" a="1"/>
  <c r="F51" i="6" s="1"/>
  <c r="F57" i="6" a="1"/>
  <c r="F57" i="6" s="1"/>
  <c r="F63" i="6" a="1"/>
  <c r="F63" i="6" s="1"/>
  <c r="F69" i="6" a="1"/>
  <c r="F69" i="6" s="1"/>
  <c r="F75" i="6" a="1"/>
  <c r="F75" i="6" s="1"/>
  <c r="F81" i="6" a="1"/>
  <c r="F81" i="6" s="1"/>
  <c r="F87" i="6" a="1"/>
  <c r="F87" i="6" s="1"/>
  <c r="F93" i="6" a="1"/>
  <c r="F93" i="6" s="1"/>
  <c r="F99" i="6" a="1"/>
  <c r="F99" i="6" s="1"/>
  <c r="F105" i="6" a="1"/>
  <c r="F105" i="6" s="1"/>
  <c r="F22" i="6" a="1"/>
  <c r="F22" i="6" s="1"/>
  <c r="F40" i="6" a="1"/>
  <c r="F40" i="6" s="1"/>
  <c r="F64" i="6" a="1"/>
  <c r="F64" i="6" s="1"/>
  <c r="F76" i="6" a="1"/>
  <c r="F76" i="6" s="1"/>
  <c r="F94" i="6" a="1"/>
  <c r="F94" i="6" s="1"/>
  <c r="F17" i="6" a="1"/>
  <c r="F17" i="6" s="1"/>
  <c r="F29" i="6" a="1"/>
  <c r="F29" i="6" s="1"/>
  <c r="F41" i="6" a="1"/>
  <c r="F41" i="6" s="1"/>
  <c r="F53" i="6" a="1"/>
  <c r="F53" i="6" s="1"/>
  <c r="F59" i="6" a="1"/>
  <c r="F59" i="6" s="1"/>
  <c r="F65" i="6" a="1"/>
  <c r="F65" i="6" s="1"/>
  <c r="F71" i="6" a="1"/>
  <c r="F71" i="6" s="1"/>
  <c r="F77" i="6" a="1"/>
  <c r="F77" i="6" s="1"/>
  <c r="F83" i="6" a="1"/>
  <c r="F83" i="6" s="1"/>
  <c r="F89" i="6" a="1"/>
  <c r="F89" i="6" s="1"/>
  <c r="F95" i="6" a="1"/>
  <c r="F95" i="6" s="1"/>
  <c r="F8" i="6" a="1"/>
  <c r="F8" i="6" s="1"/>
  <c r="F14" i="6" a="1"/>
  <c r="F14" i="6" s="1"/>
  <c r="F20" i="6" a="1"/>
  <c r="F20" i="6" s="1"/>
  <c r="F26" i="6" a="1"/>
  <c r="F26" i="6" s="1"/>
  <c r="F32" i="6" a="1"/>
  <c r="F32" i="6" s="1"/>
  <c r="F38" i="6" a="1"/>
  <c r="F38" i="6" s="1"/>
  <c r="F44" i="6" a="1"/>
  <c r="F44" i="6" s="1"/>
  <c r="F50" i="6" a="1"/>
  <c r="F50" i="6" s="1"/>
  <c r="F56" i="6" a="1"/>
  <c r="F56" i="6" s="1"/>
  <c r="F62" i="6" a="1"/>
  <c r="F62" i="6" s="1"/>
  <c r="F68" i="6" a="1"/>
  <c r="F68" i="6" s="1"/>
  <c r="F74" i="6" a="1"/>
  <c r="F74" i="6" s="1"/>
  <c r="F80" i="6" a="1"/>
  <c r="F80" i="6" s="1"/>
  <c r="F86" i="6" a="1"/>
  <c r="F86" i="6" s="1"/>
  <c r="F92" i="6" a="1"/>
  <c r="F92" i="6" s="1"/>
  <c r="F98" i="6" a="1"/>
  <c r="F98" i="6" s="1"/>
  <c r="F104" i="6" a="1"/>
  <c r="F104" i="6" s="1"/>
  <c r="F6" i="6" a="1"/>
  <c r="F6" i="6" s="1"/>
  <c r="E16" i="6" a="1"/>
  <c r="E16" i="6" s="1"/>
  <c r="E34" i="6" a="1"/>
  <c r="E34" i="6" s="1"/>
  <c r="E52" i="6" a="1"/>
  <c r="E52" i="6" s="1"/>
  <c r="E89" i="6" a="1"/>
  <c r="E89" i="6" s="1"/>
  <c r="E70" i="6" a="1"/>
  <c r="E70" i="6" s="1"/>
  <c r="E94" i="6" a="1"/>
  <c r="E94" i="6" s="1"/>
  <c r="E76" i="6" a="1"/>
  <c r="E76" i="6" s="1"/>
  <c r="E23" i="6" a="1"/>
  <c r="E23" i="6" s="1"/>
  <c r="E82" i="6" a="1"/>
  <c r="E82" i="6" s="1"/>
  <c r="E64" i="6" a="1"/>
  <c r="E64" i="6" s="1"/>
  <c r="E41" i="6" a="1"/>
  <c r="E41" i="6" s="1"/>
  <c r="E59" i="6" a="1"/>
  <c r="E59" i="6" s="1"/>
  <c r="E10" i="6" a="1"/>
  <c r="E10" i="6" s="1"/>
  <c r="E28" i="6" a="1"/>
  <c r="E28" i="6" s="1"/>
  <c r="E46" i="6" a="1"/>
  <c r="E46" i="6" s="1"/>
  <c r="E83" i="6" a="1"/>
  <c r="E83" i="6" s="1"/>
  <c r="E88" i="6" a="1"/>
  <c r="E88" i="6" s="1"/>
  <c r="E11" i="6" a="1"/>
  <c r="E11" i="6" s="1"/>
  <c r="E29" i="6" a="1"/>
  <c r="E29" i="6" s="1"/>
  <c r="E47" i="6" a="1"/>
  <c r="E47" i="6" s="1"/>
  <c r="E65" i="6" a="1"/>
  <c r="E65" i="6" s="1"/>
  <c r="E103" i="6" a="1"/>
  <c r="E103" i="6" s="1"/>
  <c r="E97" i="6" a="1"/>
  <c r="E97" i="6" s="1"/>
  <c r="E91" i="6" a="1"/>
  <c r="E91" i="6" s="1"/>
  <c r="E85" i="6" a="1"/>
  <c r="E85" i="6" s="1"/>
  <c r="E73" i="6" a="1"/>
  <c r="E73" i="6" s="1"/>
  <c r="E67" i="6" a="1"/>
  <c r="E67" i="6" s="1"/>
  <c r="E61" i="6" a="1"/>
  <c r="E61" i="6" s="1"/>
  <c r="E55" i="6" a="1"/>
  <c r="E55" i="6" s="1"/>
  <c r="E49" i="6" a="1"/>
  <c r="E49" i="6" s="1"/>
  <c r="E37" i="6" a="1"/>
  <c r="E37" i="6" s="1"/>
  <c r="E31" i="6" a="1"/>
  <c r="E31" i="6" s="1"/>
  <c r="E19" i="6" a="1"/>
  <c r="E19" i="6" s="1"/>
  <c r="E13" i="6" a="1"/>
  <c r="E13" i="6" s="1"/>
  <c r="E102" i="6" a="1"/>
  <c r="E102" i="6" s="1"/>
  <c r="E96" i="6" a="1"/>
  <c r="E96" i="6" s="1"/>
  <c r="E90" i="6" a="1"/>
  <c r="E90" i="6" s="1"/>
  <c r="E84" i="6" a="1"/>
  <c r="E84" i="6" s="1"/>
  <c r="E78" i="6" a="1"/>
  <c r="E78" i="6" s="1"/>
  <c r="E72" i="6" a="1"/>
  <c r="E72" i="6" s="1"/>
  <c r="E66" i="6" a="1"/>
  <c r="E66" i="6" s="1"/>
  <c r="E60" i="6" a="1"/>
  <c r="E60" i="6" s="1"/>
  <c r="E54" i="6" a="1"/>
  <c r="E54" i="6" s="1"/>
  <c r="E48" i="6" a="1"/>
  <c r="E48" i="6" s="1"/>
  <c r="E42" i="6" a="1"/>
  <c r="E42" i="6" s="1"/>
  <c r="E36" i="6" a="1"/>
  <c r="E36" i="6" s="1"/>
  <c r="E30" i="6" a="1"/>
  <c r="E30" i="6" s="1"/>
  <c r="E24" i="6" a="1"/>
  <c r="E24" i="6" s="1"/>
  <c r="E18" i="6" a="1"/>
  <c r="E18" i="6" s="1"/>
  <c r="E12" i="6" a="1"/>
  <c r="E12" i="6" s="1"/>
  <c r="E79" i="6" a="1"/>
  <c r="E79" i="6" s="1"/>
  <c r="E43" i="6" a="1"/>
  <c r="E43" i="6" s="1"/>
  <c r="E25" i="6" a="1"/>
  <c r="E25" i="6" s="1"/>
  <c r="E7" i="6" a="1"/>
  <c r="E7" i="6" s="1"/>
  <c r="E17" i="6" a="1"/>
  <c r="E17" i="6" s="1"/>
  <c r="E35" i="6" a="1"/>
  <c r="E35" i="6" s="1"/>
  <c r="E53" i="6" a="1"/>
  <c r="E53" i="6" s="1"/>
  <c r="E71" i="6" a="1"/>
  <c r="E71" i="6" s="1"/>
  <c r="E95" i="6" a="1"/>
  <c r="E95" i="6" s="1"/>
  <c r="E100" i="6" a="1"/>
  <c r="E100" i="6" s="1"/>
  <c r="E22" i="6" a="1"/>
  <c r="E22" i="6" s="1"/>
  <c r="E40" i="6" a="1"/>
  <c r="E40" i="6" s="1"/>
  <c r="E58" i="6" a="1"/>
  <c r="E58" i="6" s="1"/>
  <c r="E77" i="6" a="1"/>
  <c r="E77" i="6" s="1"/>
  <c r="E101" i="6" a="1"/>
  <c r="E101" i="6" s="1"/>
  <c r="E9" i="6" a="1"/>
  <c r="E9" i="6" s="1"/>
  <c r="E15" i="6" a="1"/>
  <c r="E15" i="6" s="1"/>
  <c r="E21" i="6" a="1"/>
  <c r="E21" i="6" s="1"/>
  <c r="E27" i="6" a="1"/>
  <c r="E27" i="6" s="1"/>
  <c r="E33" i="6" a="1"/>
  <c r="E33" i="6" s="1"/>
  <c r="E39" i="6" a="1"/>
  <c r="E39" i="6" s="1"/>
  <c r="E45" i="6" a="1"/>
  <c r="E45" i="6" s="1"/>
  <c r="E51" i="6" a="1"/>
  <c r="E51" i="6" s="1"/>
  <c r="E57" i="6" a="1"/>
  <c r="E57" i="6" s="1"/>
  <c r="E63" i="6" a="1"/>
  <c r="E63" i="6" s="1"/>
  <c r="E69" i="6" a="1"/>
  <c r="E69" i="6" s="1"/>
  <c r="E75" i="6" a="1"/>
  <c r="E75" i="6" s="1"/>
  <c r="E81" i="6" a="1"/>
  <c r="E81" i="6" s="1"/>
  <c r="E87" i="6" a="1"/>
  <c r="E87" i="6" s="1"/>
  <c r="E93" i="6" a="1"/>
  <c r="E93" i="6" s="1"/>
  <c r="E99" i="6" a="1"/>
  <c r="E99" i="6" s="1"/>
  <c r="E105" i="6" a="1"/>
  <c r="E105" i="6" s="1"/>
  <c r="E8" i="6" a="1"/>
  <c r="E8" i="6" s="1"/>
  <c r="E14" i="6" a="1"/>
  <c r="E14" i="6" s="1"/>
  <c r="E20" i="6" a="1"/>
  <c r="E20" i="6" s="1"/>
  <c r="E26" i="6" a="1"/>
  <c r="E26" i="6" s="1"/>
  <c r="E32" i="6" a="1"/>
  <c r="E32" i="6" s="1"/>
  <c r="E38" i="6" a="1"/>
  <c r="E38" i="6" s="1"/>
  <c r="E44" i="6" a="1"/>
  <c r="E44" i="6" s="1"/>
  <c r="E50" i="6" a="1"/>
  <c r="E50" i="6" s="1"/>
  <c r="E56" i="6" a="1"/>
  <c r="E56" i="6" s="1"/>
  <c r="E62" i="6" a="1"/>
  <c r="E62" i="6" s="1"/>
  <c r="E68" i="6" a="1"/>
  <c r="E68" i="6" s="1"/>
  <c r="E74" i="6" a="1"/>
  <c r="E74" i="6" s="1"/>
  <c r="E80" i="6" a="1"/>
  <c r="E80" i="6" s="1"/>
  <c r="E86" i="6" a="1"/>
  <c r="E86" i="6" s="1"/>
  <c r="E92" i="6" a="1"/>
  <c r="E92" i="6" s="1"/>
  <c r="E98" i="6" a="1"/>
  <c r="E98" i="6" s="1"/>
  <c r="E104" i="6" a="1"/>
  <c r="E104" i="6" s="1"/>
  <c r="E6" i="6" a="1"/>
  <c r="E6" i="6" s="1"/>
  <c r="D22" i="6" a="1"/>
  <c r="D22" i="6" s="1"/>
  <c r="D40" i="6" a="1"/>
  <c r="D40" i="6" s="1"/>
  <c r="D52" i="6" a="1"/>
  <c r="D52" i="6" s="1"/>
  <c r="D64" i="6" a="1"/>
  <c r="D64" i="6" s="1"/>
  <c r="D70" i="6" a="1"/>
  <c r="D70" i="6" s="1"/>
  <c r="D82" i="6" a="1"/>
  <c r="D82" i="6" s="1"/>
  <c r="D88" i="6" a="1"/>
  <c r="D88" i="6" s="1"/>
  <c r="D94" i="6" a="1"/>
  <c r="D94" i="6" s="1"/>
  <c r="D100" i="6" a="1"/>
  <c r="D100" i="6" s="1"/>
  <c r="D8" i="6" a="1"/>
  <c r="D8" i="6" s="1"/>
  <c r="D14" i="6" a="1"/>
  <c r="D14" i="6" s="1"/>
  <c r="D20" i="6" a="1"/>
  <c r="D20" i="6" s="1"/>
  <c r="D26" i="6" a="1"/>
  <c r="D26" i="6" s="1"/>
  <c r="D32" i="6" a="1"/>
  <c r="D32" i="6" s="1"/>
  <c r="D38" i="6" a="1"/>
  <c r="D38" i="6" s="1"/>
  <c r="D44" i="6" a="1"/>
  <c r="D44" i="6" s="1"/>
  <c r="D50" i="6" a="1"/>
  <c r="D50" i="6" s="1"/>
  <c r="D56" i="6" a="1"/>
  <c r="D56" i="6" s="1"/>
  <c r="D62" i="6" a="1"/>
  <c r="D62" i="6" s="1"/>
  <c r="D68" i="6" a="1"/>
  <c r="D68" i="6" s="1"/>
  <c r="D74" i="6" a="1"/>
  <c r="D74" i="6" s="1"/>
  <c r="D80" i="6" a="1"/>
  <c r="D80" i="6" s="1"/>
  <c r="D86" i="6" a="1"/>
  <c r="D86" i="6" s="1"/>
  <c r="D92" i="6" a="1"/>
  <c r="D92" i="6" s="1"/>
  <c r="D98" i="6" a="1"/>
  <c r="D98" i="6" s="1"/>
  <c r="D104" i="6" a="1"/>
  <c r="D104" i="6" s="1"/>
  <c r="D12" i="6" a="1"/>
  <c r="D12" i="6" s="1"/>
  <c r="D18" i="6" a="1"/>
  <c r="D18" i="6" s="1"/>
  <c r="D24" i="6" a="1"/>
  <c r="D24" i="6" s="1"/>
  <c r="D30" i="6" a="1"/>
  <c r="D30" i="6" s="1"/>
  <c r="D36" i="6" a="1"/>
  <c r="D36" i="6" s="1"/>
  <c r="D42" i="6" a="1"/>
  <c r="D42" i="6" s="1"/>
  <c r="D48" i="6" a="1"/>
  <c r="D48" i="6" s="1"/>
  <c r="D54" i="6" a="1"/>
  <c r="D54" i="6" s="1"/>
  <c r="D60" i="6" a="1"/>
  <c r="D60" i="6" s="1"/>
  <c r="D66" i="6" a="1"/>
  <c r="D66" i="6" s="1"/>
  <c r="D72" i="6" a="1"/>
  <c r="D72" i="6" s="1"/>
  <c r="D78" i="6" a="1"/>
  <c r="D78" i="6" s="1"/>
  <c r="D84" i="6" a="1"/>
  <c r="D84" i="6" s="1"/>
  <c r="D90" i="6" a="1"/>
  <c r="D90" i="6" s="1"/>
  <c r="D96" i="6" a="1"/>
  <c r="D96" i="6" s="1"/>
  <c r="D102" i="6" a="1"/>
  <c r="D102" i="6" s="1"/>
  <c r="D16" i="6" a="1"/>
  <c r="D16" i="6" s="1"/>
  <c r="D28" i="6" a="1"/>
  <c r="D28" i="6" s="1"/>
  <c r="D46" i="6" a="1"/>
  <c r="D46" i="6" s="1"/>
  <c r="D58" i="6" a="1"/>
  <c r="D58" i="6" s="1"/>
  <c r="D76" i="6" a="1"/>
  <c r="D76" i="6" s="1"/>
  <c r="D11" i="6" a="1"/>
  <c r="D11" i="6" s="1"/>
  <c r="D17" i="6" a="1"/>
  <c r="D17" i="6" s="1"/>
  <c r="D23" i="6" a="1"/>
  <c r="D23" i="6" s="1"/>
  <c r="D29" i="6" a="1"/>
  <c r="D29" i="6" s="1"/>
  <c r="D35" i="6" a="1"/>
  <c r="D35" i="6" s="1"/>
  <c r="D41" i="6" a="1"/>
  <c r="D41" i="6" s="1"/>
  <c r="D47" i="6" a="1"/>
  <c r="D47" i="6" s="1"/>
  <c r="D53" i="6" a="1"/>
  <c r="D53" i="6" s="1"/>
  <c r="D59" i="6" a="1"/>
  <c r="D59" i="6" s="1"/>
  <c r="D65" i="6" a="1"/>
  <c r="D65" i="6" s="1"/>
  <c r="D71" i="6" a="1"/>
  <c r="D71" i="6" s="1"/>
  <c r="D77" i="6" a="1"/>
  <c r="D77" i="6" s="1"/>
  <c r="D83" i="6" a="1"/>
  <c r="D83" i="6" s="1"/>
  <c r="D89" i="6" a="1"/>
  <c r="D89" i="6" s="1"/>
  <c r="D95" i="6" a="1"/>
  <c r="D95" i="6" s="1"/>
  <c r="D101" i="6" a="1"/>
  <c r="D101" i="6" s="1"/>
  <c r="D13" i="6" a="1"/>
  <c r="D13" i="6" s="1"/>
  <c r="D25" i="6" a="1"/>
  <c r="D25" i="6" s="1"/>
  <c r="D37" i="6" a="1"/>
  <c r="D37" i="6" s="1"/>
  <c r="D49" i="6" a="1"/>
  <c r="D49" i="6" s="1"/>
  <c r="D61" i="6" a="1"/>
  <c r="D61" i="6" s="1"/>
  <c r="D73" i="6" a="1"/>
  <c r="D73" i="6" s="1"/>
  <c r="D85" i="6" a="1"/>
  <c r="D85" i="6" s="1"/>
  <c r="D91" i="6" a="1"/>
  <c r="D91" i="6" s="1"/>
  <c r="D103" i="6" a="1"/>
  <c r="D103" i="6" s="1"/>
  <c r="D9" i="6" a="1"/>
  <c r="D9" i="6" s="1"/>
  <c r="D15" i="6" a="1"/>
  <c r="D15" i="6" s="1"/>
  <c r="D21" i="6" a="1"/>
  <c r="D21" i="6" s="1"/>
  <c r="D27" i="6" a="1"/>
  <c r="D27" i="6" s="1"/>
  <c r="D33" i="6" a="1"/>
  <c r="D33" i="6" s="1"/>
  <c r="D39" i="6" a="1"/>
  <c r="D39" i="6" s="1"/>
  <c r="D45" i="6" a="1"/>
  <c r="D45" i="6" s="1"/>
  <c r="D51" i="6" a="1"/>
  <c r="D51" i="6" s="1"/>
  <c r="D57" i="6" a="1"/>
  <c r="D57" i="6" s="1"/>
  <c r="D63" i="6" a="1"/>
  <c r="D63" i="6" s="1"/>
  <c r="D69" i="6" a="1"/>
  <c r="D69" i="6" s="1"/>
  <c r="D75" i="6" a="1"/>
  <c r="D75" i="6" s="1"/>
  <c r="D81" i="6" a="1"/>
  <c r="D81" i="6" s="1"/>
  <c r="D87" i="6" a="1"/>
  <c r="D87" i="6" s="1"/>
  <c r="D93" i="6" a="1"/>
  <c r="D93" i="6" s="1"/>
  <c r="D99" i="6" a="1"/>
  <c r="D99" i="6" s="1"/>
  <c r="D105" i="6" a="1"/>
  <c r="D105" i="6" s="1"/>
  <c r="D10" i="6" a="1"/>
  <c r="D10" i="6" s="1"/>
  <c r="D34" i="6" a="1"/>
  <c r="D34" i="6" s="1"/>
  <c r="D7" i="6" a="1"/>
  <c r="D7" i="6" s="1"/>
  <c r="D19" i="6" a="1"/>
  <c r="D19" i="6" s="1"/>
  <c r="D31" i="6" a="1"/>
  <c r="D31" i="6" s="1"/>
  <c r="D43" i="6" a="1"/>
  <c r="D43" i="6" s="1"/>
  <c r="D55" i="6" a="1"/>
  <c r="D55" i="6" s="1"/>
  <c r="D67" i="6" a="1"/>
  <c r="D67" i="6" s="1"/>
  <c r="D79" i="6" a="1"/>
  <c r="D79" i="6" s="1"/>
  <c r="D97" i="6" a="1"/>
  <c r="D97" i="6" s="1"/>
  <c r="D6" i="6" a="1"/>
  <c r="D6" i="6" s="1"/>
  <c r="C22" i="6" a="1"/>
  <c r="C22" i="6" s="1"/>
  <c r="C46" i="6" a="1"/>
  <c r="C46" i="6" s="1"/>
  <c r="C76" i="6" a="1"/>
  <c r="C76" i="6" s="1"/>
  <c r="C23" i="6" a="1"/>
  <c r="C23" i="6" s="1"/>
  <c r="C47" i="6" a="1"/>
  <c r="C47" i="6" s="1"/>
  <c r="C71" i="6" a="1"/>
  <c r="C71" i="6" s="1"/>
  <c r="C83" i="6" a="1"/>
  <c r="C83" i="6" s="1"/>
  <c r="C12" i="6" a="1"/>
  <c r="C12" i="6" s="1"/>
  <c r="C18" i="6" a="1"/>
  <c r="C18" i="6" s="1"/>
  <c r="C24" i="6" a="1"/>
  <c r="C24" i="6" s="1"/>
  <c r="C30" i="6" a="1"/>
  <c r="C30" i="6" s="1"/>
  <c r="C36" i="6" a="1"/>
  <c r="C36" i="6" s="1"/>
  <c r="C42" i="6" a="1"/>
  <c r="C42" i="6" s="1"/>
  <c r="C48" i="6" a="1"/>
  <c r="C48" i="6" s="1"/>
  <c r="C54" i="6" a="1"/>
  <c r="C54" i="6" s="1"/>
  <c r="C60" i="6" a="1"/>
  <c r="C60" i="6" s="1"/>
  <c r="C66" i="6" a="1"/>
  <c r="C66" i="6" s="1"/>
  <c r="C72" i="6" a="1"/>
  <c r="C72" i="6" s="1"/>
  <c r="C78" i="6" a="1"/>
  <c r="C78" i="6" s="1"/>
  <c r="C84" i="6" a="1"/>
  <c r="C84" i="6" s="1"/>
  <c r="C90" i="6" a="1"/>
  <c r="C90" i="6" s="1"/>
  <c r="C96" i="6" a="1"/>
  <c r="C96" i="6" s="1"/>
  <c r="C102" i="6" a="1"/>
  <c r="C102" i="6" s="1"/>
  <c r="C17" i="6" a="1"/>
  <c r="C17" i="6" s="1"/>
  <c r="C35" i="6" a="1"/>
  <c r="C35" i="6" s="1"/>
  <c r="C65" i="6" a="1"/>
  <c r="C65" i="6" s="1"/>
  <c r="C95" i="6" a="1"/>
  <c r="C95" i="6" s="1"/>
  <c r="C10" i="6" a="1"/>
  <c r="C10" i="6" s="1"/>
  <c r="C40" i="6" a="1"/>
  <c r="C40" i="6" s="1"/>
  <c r="C58" i="6" a="1"/>
  <c r="C58" i="6" s="1"/>
  <c r="C88" i="6" a="1"/>
  <c r="C88" i="6" s="1"/>
  <c r="C29" i="6" a="1"/>
  <c r="C29" i="6" s="1"/>
  <c r="C53" i="6" a="1"/>
  <c r="C53" i="6" s="1"/>
  <c r="C77" i="6" a="1"/>
  <c r="C77" i="6" s="1"/>
  <c r="C89" i="6" a="1"/>
  <c r="C89" i="6" s="1"/>
  <c r="C13" i="6" a="1"/>
  <c r="C13" i="6" s="1"/>
  <c r="C31" i="6" a="1"/>
  <c r="C31" i="6" s="1"/>
  <c r="C49" i="6" a="1"/>
  <c r="C49" i="6" s="1"/>
  <c r="C67" i="6" a="1"/>
  <c r="C67" i="6" s="1"/>
  <c r="C91" i="6" a="1"/>
  <c r="C91" i="6" s="1"/>
  <c r="C28" i="6" a="1"/>
  <c r="C28" i="6" s="1"/>
  <c r="C52" i="6" a="1"/>
  <c r="C52" i="6" s="1"/>
  <c r="C70" i="6" a="1"/>
  <c r="C70" i="6" s="1"/>
  <c r="C82" i="6" a="1"/>
  <c r="C82" i="6" s="1"/>
  <c r="C94" i="6" a="1"/>
  <c r="C94" i="6" s="1"/>
  <c r="C100" i="6" a="1"/>
  <c r="C100" i="6" s="1"/>
  <c r="C8" i="6" a="1"/>
  <c r="C8" i="6" s="1"/>
  <c r="C14" i="6" a="1"/>
  <c r="C14" i="6" s="1"/>
  <c r="C20" i="6" a="1"/>
  <c r="C20" i="6" s="1"/>
  <c r="C26" i="6" a="1"/>
  <c r="C26" i="6" s="1"/>
  <c r="C32" i="6" a="1"/>
  <c r="C32" i="6" s="1"/>
  <c r="C38" i="6" a="1"/>
  <c r="C38" i="6" s="1"/>
  <c r="C44" i="6" a="1"/>
  <c r="C44" i="6" s="1"/>
  <c r="C50" i="6" a="1"/>
  <c r="C50" i="6" s="1"/>
  <c r="C56" i="6" a="1"/>
  <c r="C56" i="6" s="1"/>
  <c r="C62" i="6" a="1"/>
  <c r="C62" i="6" s="1"/>
  <c r="C68" i="6" a="1"/>
  <c r="C68" i="6" s="1"/>
  <c r="C74" i="6" a="1"/>
  <c r="C74" i="6" s="1"/>
  <c r="C80" i="6" a="1"/>
  <c r="C80" i="6" s="1"/>
  <c r="C86" i="6" a="1"/>
  <c r="C86" i="6" s="1"/>
  <c r="C92" i="6" a="1"/>
  <c r="C92" i="6" s="1"/>
  <c r="C98" i="6" a="1"/>
  <c r="C98" i="6" s="1"/>
  <c r="C104" i="6" a="1"/>
  <c r="C104" i="6" s="1"/>
  <c r="C16" i="6" a="1"/>
  <c r="C16" i="6" s="1"/>
  <c r="C7" i="6" a="1"/>
  <c r="C7" i="6" s="1"/>
  <c r="C25" i="6" a="1"/>
  <c r="C25" i="6" s="1"/>
  <c r="C43" i="6" a="1"/>
  <c r="C43" i="6" s="1"/>
  <c r="C61" i="6" a="1"/>
  <c r="C61" i="6" s="1"/>
  <c r="C79" i="6" a="1"/>
  <c r="C79" i="6" s="1"/>
  <c r="C85" i="6" a="1"/>
  <c r="C85" i="6" s="1"/>
  <c r="C97" i="6" a="1"/>
  <c r="C97" i="6" s="1"/>
  <c r="C34" i="6" a="1"/>
  <c r="C34" i="6" s="1"/>
  <c r="C64" i="6" a="1"/>
  <c r="C64" i="6" s="1"/>
  <c r="C11" i="6" a="1"/>
  <c r="C11" i="6" s="1"/>
  <c r="C41" i="6" a="1"/>
  <c r="C41" i="6" s="1"/>
  <c r="C59" i="6" a="1"/>
  <c r="C59" i="6" s="1"/>
  <c r="C101" i="6" a="1"/>
  <c r="C101" i="6" s="1"/>
  <c r="C9" i="6" a="1"/>
  <c r="C9" i="6" s="1"/>
  <c r="C15" i="6" a="1"/>
  <c r="C15" i="6" s="1"/>
  <c r="C21" i="6" a="1"/>
  <c r="C21" i="6" s="1"/>
  <c r="C27" i="6" a="1"/>
  <c r="C27" i="6" s="1"/>
  <c r="C33" i="6" a="1"/>
  <c r="C33" i="6" s="1"/>
  <c r="C39" i="6" a="1"/>
  <c r="C39" i="6" s="1"/>
  <c r="C45" i="6" a="1"/>
  <c r="C45" i="6" s="1"/>
  <c r="C51" i="6" a="1"/>
  <c r="C51" i="6" s="1"/>
  <c r="C57" i="6" a="1"/>
  <c r="C57" i="6" s="1"/>
  <c r="C63" i="6" a="1"/>
  <c r="C63" i="6" s="1"/>
  <c r="C69" i="6" a="1"/>
  <c r="C69" i="6" s="1"/>
  <c r="C75" i="6" a="1"/>
  <c r="C75" i="6" s="1"/>
  <c r="C81" i="6" a="1"/>
  <c r="C81" i="6" s="1"/>
  <c r="C87" i="6" a="1"/>
  <c r="C87" i="6" s="1"/>
  <c r="C93" i="6" a="1"/>
  <c r="C93" i="6" s="1"/>
  <c r="C99" i="6" a="1"/>
  <c r="C99" i="6" s="1"/>
  <c r="C105" i="6" a="1"/>
  <c r="C105" i="6" s="1"/>
  <c r="C19" i="6" a="1"/>
  <c r="C19" i="6" s="1"/>
  <c r="C37" i="6" a="1"/>
  <c r="C37" i="6" s="1"/>
  <c r="C55" i="6" a="1"/>
  <c r="C55" i="6" s="1"/>
  <c r="C73" i="6" a="1"/>
  <c r="C73" i="6" s="1"/>
  <c r="C103" i="6" a="1"/>
  <c r="C103" i="6" s="1"/>
  <c r="C6" i="6" a="1"/>
  <c r="C6" i="6" s="1"/>
  <c r="A7" i="6" a="1"/>
  <c r="A7" i="6" s="1"/>
  <c r="A13" i="6" a="1"/>
  <c r="A13" i="6" s="1"/>
  <c r="A19" i="6" a="1"/>
  <c r="A19" i="6" s="1"/>
  <c r="A25" i="6" a="1"/>
  <c r="A25" i="6" s="1"/>
  <c r="A31" i="6" a="1"/>
  <c r="A31" i="6" s="1"/>
  <c r="A37" i="6" a="1"/>
  <c r="A37" i="6" s="1"/>
  <c r="A43" i="6" a="1"/>
  <c r="A43" i="6" s="1"/>
  <c r="A49" i="6" a="1"/>
  <c r="A49" i="6" s="1"/>
  <c r="A55" i="6" a="1"/>
  <c r="A55" i="6" s="1"/>
  <c r="A61" i="6" a="1"/>
  <c r="A61" i="6" s="1"/>
  <c r="A67" i="6" a="1"/>
  <c r="A67" i="6" s="1"/>
  <c r="A73" i="6" a="1"/>
  <c r="A73" i="6" s="1"/>
  <c r="A79" i="6" a="1"/>
  <c r="A79" i="6" s="1"/>
  <c r="A85" i="6" a="1"/>
  <c r="A85" i="6" s="1"/>
  <c r="A91" i="6" a="1"/>
  <c r="A91" i="6" s="1"/>
  <c r="A97" i="6" a="1"/>
  <c r="A97" i="6" s="1"/>
  <c r="A103" i="6" a="1"/>
  <c r="A103" i="6" s="1"/>
  <c r="A22" i="6" a="1"/>
  <c r="A22" i="6" s="1"/>
  <c r="A40" i="6" a="1"/>
  <c r="A40" i="6" s="1"/>
  <c r="A52" i="6" a="1"/>
  <c r="A52" i="6" s="1"/>
  <c r="A64" i="6" a="1"/>
  <c r="A64" i="6" s="1"/>
  <c r="A76" i="6" a="1"/>
  <c r="A76" i="6" s="1"/>
  <c r="A82" i="6" a="1"/>
  <c r="A82" i="6" s="1"/>
  <c r="A88" i="6" a="1"/>
  <c r="A88" i="6" s="1"/>
  <c r="A94" i="6" a="1"/>
  <c r="A94" i="6" s="1"/>
  <c r="A100" i="6" a="1"/>
  <c r="A100" i="6" s="1"/>
  <c r="A17" i="6" a="1"/>
  <c r="A17" i="6" s="1"/>
  <c r="A29" i="6" a="1"/>
  <c r="A29" i="6" s="1"/>
  <c r="A41" i="6" a="1"/>
  <c r="A41" i="6" s="1"/>
  <c r="A47" i="6" a="1"/>
  <c r="A47" i="6" s="1"/>
  <c r="A59" i="6" a="1"/>
  <c r="A59" i="6" s="1"/>
  <c r="A71" i="6" a="1"/>
  <c r="A71" i="6" s="1"/>
  <c r="A89" i="6" a="1"/>
  <c r="A89" i="6" s="1"/>
  <c r="A18" i="6" a="1"/>
  <c r="A18" i="6" s="1"/>
  <c r="A30" i="6" a="1"/>
  <c r="A30" i="6" s="1"/>
  <c r="A48" i="6" a="1"/>
  <c r="A48" i="6" s="1"/>
  <c r="A60" i="6" a="1"/>
  <c r="A60" i="6" s="1"/>
  <c r="A66" i="6" a="1"/>
  <c r="A66" i="6" s="1"/>
  <c r="A78" i="6" a="1"/>
  <c r="A78" i="6" s="1"/>
  <c r="A90" i="6" a="1"/>
  <c r="A90" i="6" s="1"/>
  <c r="A96" i="6" a="1"/>
  <c r="A96" i="6" s="1"/>
  <c r="A8" i="6" a="1"/>
  <c r="A8" i="6" s="1"/>
  <c r="A14" i="6" a="1"/>
  <c r="A14" i="6" s="1"/>
  <c r="A20" i="6" a="1"/>
  <c r="A20" i="6" s="1"/>
  <c r="A26" i="6" a="1"/>
  <c r="A26" i="6" s="1"/>
  <c r="A32" i="6" a="1"/>
  <c r="A32" i="6" s="1"/>
  <c r="A38" i="6" a="1"/>
  <c r="A38" i="6" s="1"/>
  <c r="A44" i="6" a="1"/>
  <c r="A44" i="6" s="1"/>
  <c r="A50" i="6" a="1"/>
  <c r="A50" i="6" s="1"/>
  <c r="A56" i="6" a="1"/>
  <c r="A56" i="6" s="1"/>
  <c r="A62" i="6" a="1"/>
  <c r="A62" i="6" s="1"/>
  <c r="A68" i="6" a="1"/>
  <c r="A68" i="6" s="1"/>
  <c r="A74" i="6" a="1"/>
  <c r="A74" i="6" s="1"/>
  <c r="A80" i="6" a="1"/>
  <c r="A80" i="6" s="1"/>
  <c r="A86" i="6" a="1"/>
  <c r="A86" i="6" s="1"/>
  <c r="A92" i="6" a="1"/>
  <c r="A92" i="6" s="1"/>
  <c r="A98" i="6" a="1"/>
  <c r="A98" i="6" s="1"/>
  <c r="A104" i="6" a="1"/>
  <c r="A104" i="6" s="1"/>
  <c r="A10" i="6" a="1"/>
  <c r="A10" i="6" s="1"/>
  <c r="A28" i="6" a="1"/>
  <c r="A28" i="6" s="1"/>
  <c r="A58" i="6" a="1"/>
  <c r="A58" i="6" s="1"/>
  <c r="A11" i="6" a="1"/>
  <c r="A11" i="6" s="1"/>
  <c r="A23" i="6" a="1"/>
  <c r="A23" i="6" s="1"/>
  <c r="A35" i="6" a="1"/>
  <c r="A35" i="6" s="1"/>
  <c r="A53" i="6" a="1"/>
  <c r="A53" i="6" s="1"/>
  <c r="A65" i="6" a="1"/>
  <c r="A65" i="6" s="1"/>
  <c r="A77" i="6" a="1"/>
  <c r="A77" i="6" s="1"/>
  <c r="A83" i="6" a="1"/>
  <c r="A83" i="6" s="1"/>
  <c r="A95" i="6" a="1"/>
  <c r="A95" i="6" s="1"/>
  <c r="A101" i="6" a="1"/>
  <c r="A101" i="6" s="1"/>
  <c r="A24" i="6" a="1"/>
  <c r="A24" i="6" s="1"/>
  <c r="A42" i="6" a="1"/>
  <c r="A42" i="6" s="1"/>
  <c r="A54" i="6" a="1"/>
  <c r="A54" i="6" s="1"/>
  <c r="A72" i="6" a="1"/>
  <c r="A72" i="6" s="1"/>
  <c r="A84" i="6" a="1"/>
  <c r="A84" i="6" s="1"/>
  <c r="A102" i="6" a="1"/>
  <c r="A102" i="6" s="1"/>
  <c r="A9" i="6" a="1"/>
  <c r="A9" i="6" s="1"/>
  <c r="A15" i="6" a="1"/>
  <c r="A15" i="6" s="1"/>
  <c r="A21" i="6" a="1"/>
  <c r="A21" i="6" s="1"/>
  <c r="A27" i="6" a="1"/>
  <c r="A27" i="6" s="1"/>
  <c r="A33" i="6" a="1"/>
  <c r="A33" i="6" s="1"/>
  <c r="A39" i="6" a="1"/>
  <c r="A39" i="6" s="1"/>
  <c r="A45" i="6" a="1"/>
  <c r="A45" i="6" s="1"/>
  <c r="A51" i="6" a="1"/>
  <c r="A51" i="6" s="1"/>
  <c r="A57" i="6" a="1"/>
  <c r="A57" i="6" s="1"/>
  <c r="A63" i="6" a="1"/>
  <c r="A63" i="6" s="1"/>
  <c r="A69" i="6" a="1"/>
  <c r="A69" i="6" s="1"/>
  <c r="A75" i="6" a="1"/>
  <c r="A75" i="6" s="1"/>
  <c r="A81" i="6" a="1"/>
  <c r="A81" i="6" s="1"/>
  <c r="A87" i="6" a="1"/>
  <c r="A87" i="6" s="1"/>
  <c r="A93" i="6" a="1"/>
  <c r="A93" i="6" s="1"/>
  <c r="A99" i="6" a="1"/>
  <c r="A99" i="6" s="1"/>
  <c r="A105" i="6" a="1"/>
  <c r="A105" i="6" s="1"/>
  <c r="A16" i="6" a="1"/>
  <c r="A16" i="6" s="1"/>
  <c r="A34" i="6" a="1"/>
  <c r="A34" i="6" s="1"/>
  <c r="A46" i="6" a="1"/>
  <c r="A46" i="6" s="1"/>
  <c r="A70" i="6" a="1"/>
  <c r="A70" i="6" s="1"/>
  <c r="A12" i="6" a="1"/>
  <c r="A12" i="6" s="1"/>
  <c r="A36" i="6" a="1"/>
  <c r="A36" i="6" s="1"/>
  <c r="A6" i="6" a="1"/>
  <c r="A6" i="6" s="1"/>
  <c r="E5" i="3"/>
  <c r="G5" i="3" s="1"/>
  <c r="L43" i="6" l="1" a="1"/>
  <c r="L43" i="6" s="1"/>
  <c r="L45" i="6" a="1"/>
  <c r="L45" i="6" s="1"/>
  <c r="L55" i="6" a="1"/>
  <c r="L55" i="6" s="1"/>
  <c r="L105" i="6" a="1"/>
  <c r="L105" i="6" s="1"/>
  <c r="L65" i="6" a="1"/>
  <c r="L65" i="6" s="1"/>
  <c r="L71" i="6" a="1"/>
  <c r="L71" i="6" s="1"/>
  <c r="L14" i="6" a="1"/>
  <c r="L14" i="6" s="1"/>
  <c r="L49" i="6" a="1"/>
  <c r="L49" i="6" s="1"/>
  <c r="L18" i="6" a="1"/>
  <c r="L18" i="6" s="1"/>
  <c r="L82" i="6" a="1"/>
  <c r="L82" i="6" s="1"/>
  <c r="L39" i="6" a="1"/>
  <c r="L39" i="6" s="1"/>
  <c r="L24" i="6" a="1"/>
  <c r="L24" i="6" s="1"/>
  <c r="L77" i="6" a="1"/>
  <c r="L77" i="6" s="1"/>
  <c r="L8" i="6" a="1"/>
  <c r="L8" i="6" s="1"/>
  <c r="L33" i="6" a="1"/>
  <c r="L33" i="6" s="1"/>
  <c r="L30" i="6" a="1"/>
  <c r="L30" i="6" s="1"/>
  <c r="L94" i="6" a="1"/>
  <c r="L94" i="6" s="1"/>
  <c r="L90" i="6" a="1"/>
  <c r="L90" i="6" s="1"/>
  <c r="L86" i="6" a="1"/>
  <c r="L86" i="6" s="1"/>
  <c r="L80" i="6" a="1"/>
  <c r="L80" i="6" s="1"/>
  <c r="L74" i="6" a="1"/>
  <c r="L74" i="6" s="1"/>
  <c r="L7" i="6" a="1"/>
  <c r="L7" i="6" s="1"/>
  <c r="L88" i="6" a="1"/>
  <c r="L88" i="6" s="1"/>
  <c r="L96" i="6" a="1"/>
  <c r="L96" i="6" s="1"/>
  <c r="L16" i="6" a="1"/>
  <c r="L16" i="6" s="1"/>
  <c r="L102" i="6" a="1"/>
  <c r="L102" i="6" s="1"/>
  <c r="K72" i="6" a="1"/>
  <c r="K72" i="6" s="1"/>
  <c r="L68" i="6" a="1"/>
  <c r="L68" i="6" s="1"/>
  <c r="L61" i="6" a="1"/>
  <c r="L61" i="6" s="1"/>
  <c r="L67" i="6" a="1"/>
  <c r="L67" i="6" s="1"/>
  <c r="L73" i="6" a="1"/>
  <c r="L73" i="6" s="1"/>
  <c r="L44" i="6" a="1"/>
  <c r="L44" i="6" s="1"/>
  <c r="L100" i="6" a="1"/>
  <c r="L100" i="6" s="1"/>
  <c r="L13" i="6" a="1"/>
  <c r="L13" i="6" s="1"/>
  <c r="L60" i="6" a="1"/>
  <c r="L60" i="6" s="1"/>
  <c r="L69" i="6" a="1"/>
  <c r="L69" i="6" s="1"/>
  <c r="L58" i="6" a="1"/>
  <c r="L58" i="6" s="1"/>
  <c r="L41" i="6" a="1"/>
  <c r="L41" i="6" s="1"/>
  <c r="L19" i="6" a="1"/>
  <c r="L19" i="6" s="1"/>
  <c r="L70" i="6" a="1"/>
  <c r="L70" i="6" s="1"/>
  <c r="L104" i="6" a="1"/>
  <c r="L104" i="6" s="1"/>
  <c r="L32" i="6" a="1"/>
  <c r="L32" i="6" s="1"/>
  <c r="L63" i="6" a="1"/>
  <c r="L63" i="6" s="1"/>
  <c r="L22" i="6" a="1"/>
  <c r="L22" i="6" s="1"/>
  <c r="L47" i="6" a="1"/>
  <c r="L47" i="6" s="1"/>
  <c r="L25" i="6" a="1"/>
  <c r="L25" i="6" s="1"/>
  <c r="L97" i="6" a="1"/>
  <c r="L97" i="6" s="1"/>
  <c r="L72" i="6" a="1"/>
  <c r="L72" i="6" s="1"/>
  <c r="L34" i="6" a="1"/>
  <c r="L34" i="6" s="1"/>
  <c r="L99" i="6" a="1"/>
  <c r="L99" i="6" s="1"/>
  <c r="L83" i="6" a="1"/>
  <c r="L83" i="6" s="1"/>
  <c r="L36" i="6" a="1"/>
  <c r="L36" i="6" s="1"/>
  <c r="L93" i="6" a="1"/>
  <c r="L93" i="6" s="1"/>
  <c r="L17" i="6" a="1"/>
  <c r="L17" i="6" s="1"/>
  <c r="L42" i="6" a="1"/>
  <c r="L42" i="6" s="1"/>
  <c r="L87" i="6" a="1"/>
  <c r="L87" i="6" s="1"/>
  <c r="L23" i="6" a="1"/>
  <c r="L23" i="6" s="1"/>
  <c r="L48" i="6" a="1"/>
  <c r="L48" i="6" s="1"/>
  <c r="L50" i="6" a="1"/>
  <c r="L50" i="6" s="1"/>
  <c r="L9" i="6" a="1"/>
  <c r="L9" i="6" s="1"/>
  <c r="L101" i="6" a="1"/>
  <c r="L101" i="6" s="1"/>
  <c r="L76" i="6" a="1"/>
  <c r="L76" i="6" s="1"/>
  <c r="L75" i="6" a="1"/>
  <c r="L75" i="6" s="1"/>
  <c r="L35" i="6" a="1"/>
  <c r="L35" i="6" s="1"/>
  <c r="L85" i="6" a="1"/>
  <c r="L85" i="6" s="1"/>
  <c r="L40" i="6" a="1"/>
  <c r="L40" i="6" s="1"/>
  <c r="L38" i="6" a="1"/>
  <c r="L38" i="6" s="1"/>
  <c r="L66" i="6" a="1"/>
  <c r="L66" i="6" s="1"/>
  <c r="L98" i="6" a="1"/>
  <c r="L98" i="6" s="1"/>
  <c r="L26" i="6" a="1"/>
  <c r="L26" i="6" s="1"/>
  <c r="L57" i="6" a="1"/>
  <c r="L57" i="6" s="1"/>
  <c r="L52" i="6" a="1"/>
  <c r="L52" i="6" s="1"/>
  <c r="L53" i="6" a="1"/>
  <c r="L53" i="6" s="1"/>
  <c r="L31" i="6" a="1"/>
  <c r="L31" i="6" s="1"/>
  <c r="L103" i="6" a="1"/>
  <c r="L103" i="6" s="1"/>
  <c r="L78" i="6" a="1"/>
  <c r="L78" i="6" s="1"/>
  <c r="L64" i="6" a="1"/>
  <c r="L64" i="6" s="1"/>
  <c r="L27" i="6" a="1"/>
  <c r="L27" i="6" s="1"/>
  <c r="L11" i="6" a="1"/>
  <c r="L11" i="6" s="1"/>
  <c r="L62" i="6" a="1"/>
  <c r="L62" i="6" s="1"/>
  <c r="L21" i="6" a="1"/>
  <c r="L21" i="6" s="1"/>
  <c r="L89" i="6" a="1"/>
  <c r="L89" i="6" s="1"/>
  <c r="L46" i="6" a="1"/>
  <c r="L46" i="6" s="1"/>
  <c r="L56" i="6" a="1"/>
  <c r="L56" i="6" s="1"/>
  <c r="L15" i="6" a="1"/>
  <c r="L15" i="6" s="1"/>
  <c r="L95" i="6" a="1"/>
  <c r="L95" i="6" s="1"/>
  <c r="L10" i="6" a="1"/>
  <c r="L10" i="6" s="1"/>
  <c r="L81" i="6" a="1"/>
  <c r="L81" i="6" s="1"/>
  <c r="L29" i="6" a="1"/>
  <c r="L29" i="6" s="1"/>
  <c r="L79" i="6" a="1"/>
  <c r="L79" i="6" s="1"/>
  <c r="L54" i="6" a="1"/>
  <c r="L54" i="6" s="1"/>
  <c r="L91" i="6" a="1"/>
  <c r="L91" i="6" s="1"/>
  <c r="L92" i="6" a="1"/>
  <c r="L92" i="6" s="1"/>
  <c r="L20" i="6" a="1"/>
  <c r="L20" i="6" s="1"/>
  <c r="L51" i="6" a="1"/>
  <c r="L51" i="6" s="1"/>
  <c r="L28" i="6" a="1"/>
  <c r="L28" i="6" s="1"/>
  <c r="L59" i="6" a="1"/>
  <c r="L59" i="6" s="1"/>
  <c r="L37" i="6" a="1"/>
  <c r="L37" i="6" s="1"/>
  <c r="L12" i="6" a="1"/>
  <c r="L12" i="6" s="1"/>
  <c r="L84" i="6" a="1"/>
  <c r="L84" i="6" s="1"/>
  <c r="K74" i="6" a="1"/>
  <c r="K74" i="6" s="1"/>
  <c r="L6" i="6" a="1"/>
  <c r="L6" i="6" s="1"/>
  <c r="K80" i="6" a="1"/>
  <c r="K80" i="6" s="1"/>
  <c r="K41" i="6" a="1"/>
  <c r="K41" i="6" s="1"/>
  <c r="K67" i="6" a="1"/>
  <c r="K67" i="6" s="1"/>
  <c r="K8" i="6" a="1"/>
  <c r="K8" i="6" s="1"/>
  <c r="K103" i="6" a="1"/>
  <c r="K103" i="6" s="1"/>
  <c r="K31" i="6" a="1"/>
  <c r="K31" i="6" s="1"/>
  <c r="K19" i="6" a="1"/>
  <c r="K19" i="6" s="1"/>
  <c r="K66" i="6" a="1"/>
  <c r="K66" i="6" s="1"/>
  <c r="K87" i="6" a="1"/>
  <c r="K87" i="6" s="1"/>
  <c r="K76" i="6" a="1"/>
  <c r="K76" i="6" s="1"/>
  <c r="K81" i="6" a="1"/>
  <c r="K81" i="6" s="1"/>
  <c r="K64" i="6" a="1"/>
  <c r="K64" i="6" s="1"/>
  <c r="K15" i="6" a="1"/>
  <c r="K15" i="6" s="1"/>
  <c r="K53" i="6" a="1"/>
  <c r="K53" i="6" s="1"/>
  <c r="K9" i="6" a="1"/>
  <c r="K9" i="6" s="1"/>
  <c r="K47" i="6" a="1"/>
  <c r="K47" i="6" s="1"/>
  <c r="K60" i="6" a="1"/>
  <c r="K60" i="6" s="1"/>
  <c r="K7" i="6" a="1"/>
  <c r="K7" i="6" s="1"/>
  <c r="K63" i="6" a="1"/>
  <c r="K63" i="6" s="1"/>
  <c r="K82" i="6" a="1"/>
  <c r="K82" i="6" s="1"/>
  <c r="K56" i="6" a="1"/>
  <c r="K56" i="6" s="1"/>
  <c r="K85" i="6" a="1"/>
  <c r="K85" i="6" s="1"/>
  <c r="K70" i="6" a="1"/>
  <c r="K70" i="6" s="1"/>
  <c r="K48" i="6" a="1"/>
  <c r="K48" i="6" s="1"/>
  <c r="K101" i="6" a="1"/>
  <c r="K101" i="6" s="1"/>
  <c r="K29" i="6" a="1"/>
  <c r="K29" i="6" s="1"/>
  <c r="K57" i="6" a="1"/>
  <c r="K57" i="6" s="1"/>
  <c r="K58" i="6" a="1"/>
  <c r="K58" i="6" s="1"/>
  <c r="K50" i="6" a="1"/>
  <c r="K50" i="6" s="1"/>
  <c r="K79" i="6" a="1"/>
  <c r="K79" i="6" s="1"/>
  <c r="K46" i="6" a="1"/>
  <c r="K46" i="6" s="1"/>
  <c r="K42" i="6" a="1"/>
  <c r="K42" i="6" s="1"/>
  <c r="K95" i="6" a="1"/>
  <c r="K95" i="6" s="1"/>
  <c r="K23" i="6" a="1"/>
  <c r="K23" i="6" s="1"/>
  <c r="K75" i="6" a="1"/>
  <c r="K75" i="6" s="1"/>
  <c r="K68" i="6" a="1"/>
  <c r="K68" i="6" s="1"/>
  <c r="K40" i="6" a="1"/>
  <c r="K40" i="6" s="1"/>
  <c r="K69" i="6" a="1"/>
  <c r="K69" i="6" s="1"/>
  <c r="K91" i="6" a="1"/>
  <c r="K91" i="6" s="1"/>
  <c r="K35" i="6" a="1"/>
  <c r="K35" i="6" s="1"/>
  <c r="K34" i="6" a="1"/>
  <c r="K34" i="6" s="1"/>
  <c r="K73" i="6" a="1"/>
  <c r="K73" i="6" s="1"/>
  <c r="K16" i="6" a="1"/>
  <c r="K16" i="6" s="1"/>
  <c r="K89" i="6" a="1"/>
  <c r="K89" i="6" s="1"/>
  <c r="K10" i="6" a="1"/>
  <c r="K10" i="6" s="1"/>
  <c r="K39" i="6" a="1"/>
  <c r="K39" i="6" s="1"/>
  <c r="K104" i="6" a="1"/>
  <c r="K104" i="6" s="1"/>
  <c r="K32" i="6" a="1"/>
  <c r="K32" i="6" s="1"/>
  <c r="K55" i="6" a="1"/>
  <c r="K55" i="6" s="1"/>
  <c r="K96" i="6" a="1"/>
  <c r="K96" i="6" s="1"/>
  <c r="K24" i="6" a="1"/>
  <c r="K24" i="6" s="1"/>
  <c r="K77" i="6" a="1"/>
  <c r="K77" i="6" s="1"/>
  <c r="K88" i="6" a="1"/>
  <c r="K88" i="6" s="1"/>
  <c r="K105" i="6" a="1"/>
  <c r="K105" i="6" s="1"/>
  <c r="K33" i="6" a="1"/>
  <c r="K33" i="6" s="1"/>
  <c r="K98" i="6" a="1"/>
  <c r="K98" i="6" s="1"/>
  <c r="K26" i="6" a="1"/>
  <c r="K26" i="6" s="1"/>
  <c r="K49" i="6" a="1"/>
  <c r="K49" i="6" s="1"/>
  <c r="K90" i="6" a="1"/>
  <c r="K90" i="6" s="1"/>
  <c r="K18" i="6" a="1"/>
  <c r="K18" i="6" s="1"/>
  <c r="K71" i="6" a="1"/>
  <c r="K71" i="6" s="1"/>
  <c r="K52" i="6" a="1"/>
  <c r="K52" i="6" s="1"/>
  <c r="K25" i="6" a="1"/>
  <c r="K25" i="6" s="1"/>
  <c r="K13" i="6" a="1"/>
  <c r="K13" i="6" s="1"/>
  <c r="K62" i="6" a="1"/>
  <c r="K62" i="6" s="1"/>
  <c r="K22" i="6" a="1"/>
  <c r="K22" i="6" s="1"/>
  <c r="K45" i="6" a="1"/>
  <c r="K45" i="6" s="1"/>
  <c r="K61" i="6" a="1"/>
  <c r="K61" i="6" s="1"/>
  <c r="K30" i="6" a="1"/>
  <c r="K30" i="6" s="1"/>
  <c r="K83" i="6" a="1"/>
  <c r="K83" i="6" s="1"/>
  <c r="K99" i="6" a="1"/>
  <c r="K99" i="6" s="1"/>
  <c r="K27" i="6" a="1"/>
  <c r="K27" i="6" s="1"/>
  <c r="K92" i="6" a="1"/>
  <c r="K92" i="6" s="1"/>
  <c r="K20" i="6" a="1"/>
  <c r="K20" i="6" s="1"/>
  <c r="K43" i="6" a="1"/>
  <c r="K43" i="6" s="1"/>
  <c r="K84" i="6" a="1"/>
  <c r="K84" i="6" s="1"/>
  <c r="K12" i="6" a="1"/>
  <c r="K12" i="6" s="1"/>
  <c r="K65" i="6" a="1"/>
  <c r="K65" i="6" s="1"/>
  <c r="K28" i="6" a="1"/>
  <c r="K28" i="6" s="1"/>
  <c r="K97" i="6" a="1"/>
  <c r="K97" i="6" s="1"/>
  <c r="K100" i="6" a="1"/>
  <c r="K100" i="6" s="1"/>
  <c r="K54" i="6" a="1"/>
  <c r="K54" i="6" s="1"/>
  <c r="K51" i="6" a="1"/>
  <c r="K51" i="6" s="1"/>
  <c r="K44" i="6" a="1"/>
  <c r="K44" i="6" s="1"/>
  <c r="K36" i="6" a="1"/>
  <c r="K36" i="6" s="1"/>
  <c r="K17" i="6" a="1"/>
  <c r="K17" i="6" s="1"/>
  <c r="K38" i="6" a="1"/>
  <c r="K38" i="6" s="1"/>
  <c r="K102" i="6" a="1"/>
  <c r="K102" i="6" s="1"/>
  <c r="K11" i="6" a="1"/>
  <c r="K11" i="6" s="1"/>
  <c r="K93" i="6" a="1"/>
  <c r="K93" i="6" s="1"/>
  <c r="K21" i="6" a="1"/>
  <c r="K21" i="6" s="1"/>
  <c r="K86" i="6" a="1"/>
  <c r="K86" i="6" s="1"/>
  <c r="K14" i="6" a="1"/>
  <c r="K14" i="6" s="1"/>
  <c r="K37" i="6" a="1"/>
  <c r="K37" i="6" s="1"/>
  <c r="K78" i="6" a="1"/>
  <c r="K78" i="6" s="1"/>
  <c r="K94" i="6" a="1"/>
  <c r="K94" i="6" s="1"/>
  <c r="K59" i="6" a="1"/>
  <c r="K59" i="6" s="1"/>
  <c r="K6" i="6" a="1"/>
  <c r="K6" i="6" s="1"/>
  <c r="A55" i="4" a="1"/>
  <c r="A55" i="4" s="1"/>
  <c r="A22" i="4" a="1"/>
  <c r="A22" i="4" s="1"/>
  <c r="A16" i="4" a="1"/>
  <c r="A16" i="4" s="1"/>
  <c r="A101" i="4" a="1"/>
  <c r="A101" i="4" s="1"/>
  <c r="A95" i="4" a="1"/>
  <c r="A95" i="4" s="1"/>
  <c r="A89" i="4" a="1"/>
  <c r="A89" i="4" s="1"/>
  <c r="A83" i="4" a="1"/>
  <c r="A83" i="4" s="1"/>
  <c r="A77" i="4" a="1"/>
  <c r="A77" i="4" s="1"/>
  <c r="A71" i="4" a="1"/>
  <c r="A71" i="4" s="1"/>
  <c r="A65" i="4" a="1"/>
  <c r="A65" i="4" s="1"/>
  <c r="A59" i="4" a="1"/>
  <c r="A59" i="4" s="1"/>
  <c r="A52" i="4" a="1"/>
  <c r="A52" i="4" s="1"/>
  <c r="H52" i="4" s="1" a="1"/>
  <c r="H52" i="4" s="1"/>
  <c r="A46" i="4" a="1"/>
  <c r="A46" i="4" s="1"/>
  <c r="A40" i="4" a="1"/>
  <c r="A40" i="4" s="1"/>
  <c r="A34" i="4" a="1"/>
  <c r="A34" i="4" s="1"/>
  <c r="A28" i="4" a="1"/>
  <c r="A28" i="4" s="1"/>
  <c r="A10" i="4" a="1"/>
  <c r="A10" i="4" s="1"/>
  <c r="A100" i="4" a="1"/>
  <c r="A100" i="4" s="1"/>
  <c r="A94" i="4" a="1"/>
  <c r="A94" i="4" s="1"/>
  <c r="A88" i="4" a="1"/>
  <c r="A88" i="4" s="1"/>
  <c r="A82" i="4" a="1"/>
  <c r="A82" i="4" s="1"/>
  <c r="A76" i="4" a="1"/>
  <c r="A76" i="4" s="1"/>
  <c r="A70" i="4" a="1"/>
  <c r="A70" i="4" s="1"/>
  <c r="A64" i="4" a="1"/>
  <c r="A64" i="4" s="1"/>
  <c r="A58" i="4" a="1"/>
  <c r="A58" i="4" s="1"/>
  <c r="A51" i="4" a="1"/>
  <c r="A51" i="4" s="1"/>
  <c r="A45" i="4" a="1"/>
  <c r="A45" i="4" s="1"/>
  <c r="A30" i="4" a="1"/>
  <c r="A30" i="4" s="1"/>
  <c r="A21" i="4" a="1"/>
  <c r="A21" i="4" s="1"/>
  <c r="A98" i="4" a="1"/>
  <c r="A98" i="4" s="1"/>
  <c r="A90" i="4" a="1"/>
  <c r="A90" i="4" s="1"/>
  <c r="A80" i="4" a="1"/>
  <c r="A80" i="4" s="1"/>
  <c r="A62" i="4" a="1"/>
  <c r="A62" i="4" s="1"/>
  <c r="A36" i="4" a="1"/>
  <c r="A36" i="4" s="1"/>
  <c r="H36" i="4" s="1" a="1"/>
  <c r="H36" i="4" s="1"/>
  <c r="A43" i="4" a="1"/>
  <c r="A43" i="4" s="1"/>
  <c r="H43" i="4" s="1" a="1"/>
  <c r="H43" i="4" s="1"/>
  <c r="A99" i="4" a="1"/>
  <c r="A99" i="4" s="1"/>
  <c r="A91" i="4" a="1"/>
  <c r="A91" i="4" s="1"/>
  <c r="A81" i="4" a="1"/>
  <c r="A81" i="4" s="1"/>
  <c r="A73" i="4" a="1"/>
  <c r="A73" i="4" s="1"/>
  <c r="A63" i="4" a="1"/>
  <c r="A63" i="4" s="1"/>
  <c r="A54" i="4" a="1"/>
  <c r="A54" i="4" s="1"/>
  <c r="A37" i="4" a="1"/>
  <c r="A37" i="4" s="1"/>
  <c r="H37" i="4" s="1" a="1"/>
  <c r="H37" i="4" s="1"/>
  <c r="A13" i="4" a="1"/>
  <c r="A13" i="4" s="1"/>
  <c r="A53" i="4" a="1"/>
  <c r="A53" i="4" s="1"/>
  <c r="A27" i="4" a="1"/>
  <c r="A27" i="4" s="1"/>
  <c r="A44" i="4" a="1"/>
  <c r="A44" i="4" s="1"/>
  <c r="H44" i="4" s="1" a="1"/>
  <c r="H44" i="4" s="1"/>
  <c r="A29" i="4" a="1"/>
  <c r="A29" i="4" s="1"/>
  <c r="A20" i="4" a="1"/>
  <c r="A20" i="4" s="1"/>
  <c r="A72" i="4" a="1"/>
  <c r="A72" i="4" s="1"/>
  <c r="A12" i="4" a="1"/>
  <c r="A12" i="4" s="1"/>
  <c r="A93" i="4" a="1"/>
  <c r="A93" i="4" s="1"/>
  <c r="A78" i="4" a="1"/>
  <c r="A78" i="4" s="1"/>
  <c r="A61" i="4" a="1"/>
  <c r="A61" i="4" s="1"/>
  <c r="A32" i="4" a="1"/>
  <c r="A32" i="4" s="1"/>
  <c r="A19" i="4" a="1"/>
  <c r="A19" i="4" s="1"/>
  <c r="A8" i="4" a="1"/>
  <c r="A8" i="4" s="1"/>
  <c r="A11" i="4" a="1"/>
  <c r="A11" i="4" s="1"/>
  <c r="A9" i="4" a="1"/>
  <c r="A9" i="4" s="1"/>
  <c r="A66" i="4" a="1"/>
  <c r="A66" i="4" s="1"/>
  <c r="A23" i="4" a="1"/>
  <c r="A23" i="4" s="1"/>
  <c r="A105" i="4" a="1"/>
  <c r="A105" i="4" s="1"/>
  <c r="A47" i="4" a="1"/>
  <c r="A47" i="4" s="1"/>
  <c r="A103" i="4" a="1"/>
  <c r="A103" i="4" s="1"/>
  <c r="A41" i="4" a="1"/>
  <c r="A41" i="4" s="1"/>
  <c r="H41" i="4" s="1" a="1"/>
  <c r="H41" i="4" s="1"/>
  <c r="A56" i="4" a="1"/>
  <c r="A56" i="4" s="1"/>
  <c r="A85" i="4" a="1"/>
  <c r="A85" i="4" s="1"/>
  <c r="A25" i="4" a="1"/>
  <c r="A25" i="4" s="1"/>
  <c r="A97" i="4" a="1"/>
  <c r="A97" i="4" s="1"/>
  <c r="A67" i="4" a="1"/>
  <c r="A67" i="4" s="1"/>
  <c r="A35" i="4" a="1"/>
  <c r="A35" i="4" s="1"/>
  <c r="A79" i="4" a="1"/>
  <c r="A79" i="4" s="1"/>
  <c r="A92" i="4" a="1"/>
  <c r="A92" i="4" s="1"/>
  <c r="A75" i="4" a="1"/>
  <c r="A75" i="4" s="1"/>
  <c r="A60" i="4" a="1"/>
  <c r="A60" i="4" s="1"/>
  <c r="A31" i="4" a="1"/>
  <c r="A31" i="4" s="1"/>
  <c r="A18" i="4" a="1"/>
  <c r="A18" i="4" s="1"/>
  <c r="A7" i="4" a="1"/>
  <c r="A7" i="4" s="1"/>
  <c r="A104" i="4" a="1"/>
  <c r="A104" i="4" s="1"/>
  <c r="A87" i="4" a="1"/>
  <c r="A87" i="4" s="1"/>
  <c r="A42" i="4" a="1"/>
  <c r="A42" i="4" s="1"/>
  <c r="H42" i="4" s="1" a="1"/>
  <c r="H42" i="4" s="1"/>
  <c r="A74" i="4" a="1"/>
  <c r="A74" i="4" s="1"/>
  <c r="A57" i="4" a="1"/>
  <c r="A57" i="4" s="1"/>
  <c r="A17" i="4" a="1"/>
  <c r="A17" i="4" s="1"/>
  <c r="A86" i="4" a="1"/>
  <c r="A86" i="4" s="1"/>
  <c r="A69" i="4" a="1"/>
  <c r="A69" i="4" s="1"/>
  <c r="A26" i="4" a="1"/>
  <c r="A26" i="4" s="1"/>
  <c r="A15" i="4" a="1"/>
  <c r="A15" i="4" s="1"/>
  <c r="A39" i="4" a="1"/>
  <c r="A39" i="4" s="1"/>
  <c r="H39" i="4" s="1" a="1"/>
  <c r="H39" i="4" s="1"/>
  <c r="A102" i="4" a="1"/>
  <c r="A102" i="4" s="1"/>
  <c r="A68" i="4" a="1"/>
  <c r="A68" i="4" s="1"/>
  <c r="A50" i="4" a="1"/>
  <c r="A50" i="4" s="1"/>
  <c r="H50" i="4" s="1" a="1"/>
  <c r="H50" i="4" s="1"/>
  <c r="A14" i="4" a="1"/>
  <c r="A14" i="4" s="1"/>
  <c r="A38" i="4" a="1"/>
  <c r="A38" i="4" s="1"/>
  <c r="A84" i="4" a="1"/>
  <c r="A84" i="4" s="1"/>
  <c r="A49" i="4" a="1"/>
  <c r="A49" i="4" s="1"/>
  <c r="H49" i="4" s="1" a="1"/>
  <c r="H49" i="4" s="1"/>
  <c r="A24" i="4" a="1"/>
  <c r="A24" i="4" s="1"/>
  <c r="A96" i="4" a="1"/>
  <c r="A96" i="4" s="1"/>
  <c r="A33" i="4" a="1"/>
  <c r="A33" i="4" s="1"/>
  <c r="A48" i="4" a="1"/>
  <c r="A48" i="4" s="1"/>
  <c r="A6" i="4" a="1"/>
  <c r="A6" i="4" s="1"/>
  <c r="G28" i="4" l="1" a="1"/>
  <c r="G28" i="4" s="1"/>
  <c r="H28" i="4" a="1"/>
  <c r="H28" i="4" s="1"/>
  <c r="G31" i="4" a="1"/>
  <c r="G31" i="4" s="1"/>
  <c r="H31" i="4" a="1"/>
  <c r="H31" i="4" s="1"/>
  <c r="G26" i="4" a="1"/>
  <c r="G26" i="4" s="1"/>
  <c r="H26" i="4" a="1"/>
  <c r="H26" i="4" s="1"/>
  <c r="G81" i="4" a="1"/>
  <c r="G81" i="4" s="1"/>
  <c r="H81" i="4" a="1"/>
  <c r="H81" i="4" s="1"/>
  <c r="G22" i="4" a="1"/>
  <c r="G22" i="4" s="1"/>
  <c r="H22" i="4" a="1"/>
  <c r="H22" i="4" s="1"/>
  <c r="G69" i="4" a="1"/>
  <c r="G69" i="4" s="1"/>
  <c r="H69" i="4" a="1"/>
  <c r="H69" i="4" s="1"/>
  <c r="G105" i="4" a="1"/>
  <c r="G105" i="4" s="1"/>
  <c r="H105" i="4" a="1"/>
  <c r="H105" i="4" s="1"/>
  <c r="G72" i="4" a="1"/>
  <c r="G72" i="4" s="1"/>
  <c r="H72" i="4" a="1"/>
  <c r="H72" i="4" s="1"/>
  <c r="G91" i="4" a="1"/>
  <c r="G91" i="4" s="1"/>
  <c r="H91" i="4" a="1"/>
  <c r="H91" i="4" s="1"/>
  <c r="G58" i="4" a="1"/>
  <c r="G58" i="4" s="1"/>
  <c r="H58" i="4" a="1"/>
  <c r="H58" i="4" s="1"/>
  <c r="G46" i="4" a="1"/>
  <c r="G46" i="4" s="1"/>
  <c r="H46" i="4" a="1"/>
  <c r="H46" i="4" s="1"/>
  <c r="G55" i="4" a="1"/>
  <c r="G55" i="4" s="1"/>
  <c r="H55" i="4" a="1"/>
  <c r="H55" i="4" s="1"/>
  <c r="G63" i="4" a="1"/>
  <c r="G63" i="4" s="1"/>
  <c r="H63" i="4" a="1"/>
  <c r="H63" i="4" s="1"/>
  <c r="G103" i="4" a="1"/>
  <c r="G103" i="4" s="1"/>
  <c r="H103" i="4" a="1"/>
  <c r="H103" i="4" s="1"/>
  <c r="G33" i="4" a="1"/>
  <c r="G33" i="4" s="1"/>
  <c r="H33" i="4" a="1"/>
  <c r="H33" i="4" s="1"/>
  <c r="G47" i="4" a="1"/>
  <c r="G47" i="4" s="1"/>
  <c r="H47" i="4" a="1"/>
  <c r="H47" i="4" s="1"/>
  <c r="G51" i="4" a="1"/>
  <c r="G51" i="4" s="1"/>
  <c r="H51" i="4" a="1"/>
  <c r="H51" i="4" s="1"/>
  <c r="G96" i="4" a="1"/>
  <c r="G96" i="4" s="1"/>
  <c r="H96" i="4" a="1"/>
  <c r="H96" i="4" s="1"/>
  <c r="G24" i="4" a="1"/>
  <c r="G24" i="4" s="1"/>
  <c r="H24" i="4" a="1"/>
  <c r="H24" i="4" s="1"/>
  <c r="G92" i="4" a="1"/>
  <c r="G92" i="4" s="1"/>
  <c r="H92" i="4" a="1"/>
  <c r="H92" i="4" s="1"/>
  <c r="G23" i="4" a="1"/>
  <c r="G23" i="4" s="1"/>
  <c r="H23" i="4" a="1"/>
  <c r="H23" i="4" s="1"/>
  <c r="G20" i="4" a="1"/>
  <c r="G20" i="4" s="1"/>
  <c r="H20" i="4" a="1"/>
  <c r="H20" i="4" s="1"/>
  <c r="G99" i="4" a="1"/>
  <c r="G99" i="4" s="1"/>
  <c r="H99" i="4" a="1"/>
  <c r="H99" i="4" s="1"/>
  <c r="G64" i="4" a="1"/>
  <c r="G64" i="4" s="1"/>
  <c r="H64" i="4" a="1"/>
  <c r="H64" i="4" s="1"/>
  <c r="G18" i="4" a="1"/>
  <c r="G18" i="4" s="1"/>
  <c r="H18" i="4" a="1"/>
  <c r="H18" i="4" s="1"/>
  <c r="G93" i="4" a="1"/>
  <c r="G93" i="4" s="1"/>
  <c r="H93" i="4" a="1"/>
  <c r="H93" i="4" s="1"/>
  <c r="G60" i="4" a="1"/>
  <c r="G60" i="4" s="1"/>
  <c r="H60" i="4" a="1"/>
  <c r="H60" i="4" s="1"/>
  <c r="G12" i="4" a="1"/>
  <c r="G12" i="4" s="1"/>
  <c r="H12" i="4" a="1"/>
  <c r="H12" i="4" s="1"/>
  <c r="G40" i="4" a="1"/>
  <c r="G40" i="4" s="1"/>
  <c r="H40" i="4" a="1"/>
  <c r="H40" i="4" s="1"/>
  <c r="G75" i="4" a="1"/>
  <c r="G75" i="4" s="1"/>
  <c r="H75" i="4" a="1"/>
  <c r="H75" i="4" s="1"/>
  <c r="G86" i="4" a="1"/>
  <c r="G86" i="4" s="1"/>
  <c r="H86" i="4" a="1"/>
  <c r="H86" i="4" s="1"/>
  <c r="G17" i="4" a="1"/>
  <c r="G17" i="4" s="1"/>
  <c r="H17" i="4" a="1"/>
  <c r="H17" i="4" s="1"/>
  <c r="G79" i="4" a="1"/>
  <c r="G79" i="4" s="1"/>
  <c r="H79" i="4" a="1"/>
  <c r="H79" i="4" s="1"/>
  <c r="G66" i="4" a="1"/>
  <c r="G66" i="4" s="1"/>
  <c r="H66" i="4" a="1"/>
  <c r="H66" i="4" s="1"/>
  <c r="G29" i="4" a="1"/>
  <c r="G29" i="4" s="1"/>
  <c r="H29" i="4" a="1"/>
  <c r="H29" i="4" s="1"/>
  <c r="G70" i="4" a="1"/>
  <c r="G70" i="4" s="1"/>
  <c r="H70" i="4" a="1"/>
  <c r="H70" i="4" s="1"/>
  <c r="G59" i="4" a="1"/>
  <c r="G59" i="4" s="1"/>
  <c r="H59" i="4" a="1"/>
  <c r="H59" i="4" s="1"/>
  <c r="G78" i="4" a="1"/>
  <c r="G78" i="4" s="1"/>
  <c r="H78" i="4" a="1"/>
  <c r="H78" i="4" s="1"/>
  <c r="G45" i="4" a="1"/>
  <c r="G45" i="4" s="1"/>
  <c r="H45" i="4" a="1"/>
  <c r="H45" i="4" s="1"/>
  <c r="G84" i="4" a="1"/>
  <c r="G84" i="4" s="1"/>
  <c r="H84" i="4" a="1"/>
  <c r="H84" i="4" s="1"/>
  <c r="G101" i="4" a="1"/>
  <c r="G101" i="4" s="1"/>
  <c r="H101" i="4" a="1"/>
  <c r="H101" i="4" s="1"/>
  <c r="G73" i="4" a="1"/>
  <c r="G73" i="4" s="1"/>
  <c r="H73" i="4" a="1"/>
  <c r="H73" i="4" s="1"/>
  <c r="G9" i="4" a="1"/>
  <c r="G9" i="4" s="1"/>
  <c r="H9" i="4" a="1"/>
  <c r="H9" i="4" s="1"/>
  <c r="G65" i="4" a="1"/>
  <c r="G65" i="4" s="1"/>
  <c r="H65" i="4" a="1"/>
  <c r="H65" i="4" s="1"/>
  <c r="G67" i="4" a="1"/>
  <c r="G67" i="4" s="1"/>
  <c r="H67" i="4" a="1"/>
  <c r="H67" i="4" s="1"/>
  <c r="G82" i="4" a="1"/>
  <c r="G82" i="4" s="1"/>
  <c r="H82" i="4" a="1"/>
  <c r="H82" i="4" s="1"/>
  <c r="G14" i="4" a="1"/>
  <c r="G14" i="4" s="1"/>
  <c r="H14" i="4" a="1"/>
  <c r="H14" i="4" s="1"/>
  <c r="G8" i="4" a="1"/>
  <c r="G8" i="4" s="1"/>
  <c r="H8" i="4" a="1"/>
  <c r="H8" i="4" s="1"/>
  <c r="G88" i="4" a="1"/>
  <c r="G88" i="4" s="1"/>
  <c r="H88" i="4" a="1"/>
  <c r="H88" i="4" s="1"/>
  <c r="G87" i="4" a="1"/>
  <c r="G87" i="4" s="1"/>
  <c r="H87" i="4" a="1"/>
  <c r="H87" i="4" s="1"/>
  <c r="G25" i="4" a="1"/>
  <c r="G25" i="4" s="1"/>
  <c r="H25" i="4" a="1"/>
  <c r="H25" i="4" s="1"/>
  <c r="G19" i="4" a="1"/>
  <c r="G19" i="4" s="1"/>
  <c r="H19" i="4" a="1"/>
  <c r="H19" i="4" s="1"/>
  <c r="G13" i="4" a="1"/>
  <c r="G13" i="4" s="1"/>
  <c r="H13" i="4" a="1"/>
  <c r="H13" i="4" s="1"/>
  <c r="G90" i="4" a="1"/>
  <c r="G90" i="4" s="1"/>
  <c r="H90" i="4" a="1"/>
  <c r="H90" i="4" s="1"/>
  <c r="G94" i="4" a="1"/>
  <c r="G94" i="4" s="1"/>
  <c r="H94" i="4" a="1"/>
  <c r="H94" i="4" s="1"/>
  <c r="G83" i="4" a="1"/>
  <c r="G83" i="4" s="1"/>
  <c r="H83" i="4" a="1"/>
  <c r="H83" i="4" s="1"/>
  <c r="G30" i="4" a="1"/>
  <c r="G30" i="4" s="1"/>
  <c r="H30" i="4" a="1"/>
  <c r="H30" i="4" s="1"/>
  <c r="G48" i="4" a="1"/>
  <c r="G48" i="4" s="1"/>
  <c r="H48" i="4" a="1"/>
  <c r="H48" i="4" s="1"/>
  <c r="G34" i="4" a="1"/>
  <c r="G34" i="4" s="1"/>
  <c r="H34" i="4" a="1"/>
  <c r="H34" i="4" s="1"/>
  <c r="G35" i="4" a="1"/>
  <c r="G35" i="4" s="1"/>
  <c r="H35" i="4" a="1"/>
  <c r="H35" i="4" s="1"/>
  <c r="G76" i="4" a="1"/>
  <c r="G76" i="4" s="1"/>
  <c r="H76" i="4" a="1"/>
  <c r="H76" i="4" s="1"/>
  <c r="G74" i="4" a="1"/>
  <c r="G74" i="4" s="1"/>
  <c r="H74" i="4" a="1"/>
  <c r="H74" i="4" s="1"/>
  <c r="G27" i="4" a="1"/>
  <c r="G27" i="4" s="1"/>
  <c r="H27" i="4" a="1"/>
  <c r="H27" i="4" s="1"/>
  <c r="G97" i="4" a="1"/>
  <c r="G97" i="4" s="1"/>
  <c r="H97" i="4" a="1"/>
  <c r="H97" i="4" s="1"/>
  <c r="G80" i="4" a="1"/>
  <c r="G80" i="4" s="1"/>
  <c r="H80" i="4" a="1"/>
  <c r="H80" i="4" s="1"/>
  <c r="G68" i="4" a="1"/>
  <c r="G68" i="4" s="1"/>
  <c r="H68" i="4" a="1"/>
  <c r="H68" i="4" s="1"/>
  <c r="G85" i="4" a="1"/>
  <c r="G85" i="4" s="1"/>
  <c r="H85" i="4" a="1"/>
  <c r="H85" i="4" s="1"/>
  <c r="G89" i="4" a="1"/>
  <c r="G89" i="4" s="1"/>
  <c r="H89" i="4" a="1"/>
  <c r="H89" i="4" s="1"/>
  <c r="G15" i="4" a="1"/>
  <c r="G15" i="4" s="1"/>
  <c r="H15" i="4" a="1"/>
  <c r="H15" i="4" s="1"/>
  <c r="G16" i="4" a="1"/>
  <c r="G16" i="4" s="1"/>
  <c r="H16" i="4" a="1"/>
  <c r="H16" i="4" s="1"/>
  <c r="G57" i="4" a="1"/>
  <c r="G57" i="4" s="1"/>
  <c r="H57" i="4" a="1"/>
  <c r="H57" i="4" s="1"/>
  <c r="G38" i="4" a="1"/>
  <c r="G38" i="4" s="1"/>
  <c r="H38" i="4" a="1"/>
  <c r="H38" i="4" s="1"/>
  <c r="G11" i="4" a="1"/>
  <c r="G11" i="4" s="1"/>
  <c r="H11" i="4" a="1"/>
  <c r="H11" i="4" s="1"/>
  <c r="G62" i="4" a="1"/>
  <c r="G62" i="4" s="1"/>
  <c r="H62" i="4" a="1"/>
  <c r="H62" i="4" s="1"/>
  <c r="G71" i="4" a="1"/>
  <c r="G71" i="4" s="1"/>
  <c r="H71" i="4" a="1"/>
  <c r="H71" i="4" s="1"/>
  <c r="G53" i="4" a="1"/>
  <c r="G53" i="4" s="1"/>
  <c r="H53" i="4" a="1"/>
  <c r="H53" i="4" s="1"/>
  <c r="G77" i="4" a="1"/>
  <c r="G77" i="4" s="1"/>
  <c r="H77" i="4" a="1"/>
  <c r="H77" i="4" s="1"/>
  <c r="G104" i="4" a="1"/>
  <c r="G104" i="4" s="1"/>
  <c r="H104" i="4" a="1"/>
  <c r="H104" i="4" s="1"/>
  <c r="G32" i="4" a="1"/>
  <c r="G32" i="4" s="1"/>
  <c r="H32" i="4" a="1"/>
  <c r="H32" i="4" s="1"/>
  <c r="G98" i="4" a="1"/>
  <c r="G98" i="4" s="1"/>
  <c r="H98" i="4" a="1"/>
  <c r="H98" i="4" s="1"/>
  <c r="G100" i="4" a="1"/>
  <c r="G100" i="4" s="1"/>
  <c r="H100" i="4" a="1"/>
  <c r="H100" i="4" s="1"/>
  <c r="G102" i="4" a="1"/>
  <c r="G102" i="4" s="1"/>
  <c r="H102" i="4" a="1"/>
  <c r="H102" i="4" s="1"/>
  <c r="G7" i="4" a="1"/>
  <c r="G7" i="4" s="1"/>
  <c r="H7" i="4" a="1"/>
  <c r="H7" i="4" s="1"/>
  <c r="G56" i="4" a="1"/>
  <c r="G56" i="4" s="1"/>
  <c r="H56" i="4" a="1"/>
  <c r="H56" i="4" s="1"/>
  <c r="G61" i="4" a="1"/>
  <c r="G61" i="4" s="1"/>
  <c r="H61" i="4" a="1"/>
  <c r="H61" i="4" s="1"/>
  <c r="G54" i="4" a="1"/>
  <c r="G54" i="4" s="1"/>
  <c r="H54" i="4" a="1"/>
  <c r="H54" i="4" s="1"/>
  <c r="G21" i="4" a="1"/>
  <c r="G21" i="4" s="1"/>
  <c r="H21" i="4" a="1"/>
  <c r="H21" i="4" s="1"/>
  <c r="G10" i="4" a="1"/>
  <c r="G10" i="4" s="1"/>
  <c r="H10" i="4" a="1"/>
  <c r="H10" i="4" s="1"/>
  <c r="G95" i="4" a="1"/>
  <c r="G95" i="4" s="1"/>
  <c r="H95" i="4" a="1"/>
  <c r="H95" i="4" s="1"/>
  <c r="G39" i="4" a="1"/>
  <c r="G39" i="4" s="1"/>
  <c r="G41" i="4" a="1"/>
  <c r="G41" i="4" s="1"/>
  <c r="G43" i="4" a="1"/>
  <c r="G43" i="4" s="1"/>
  <c r="G49" i="4" a="1"/>
  <c r="G49" i="4" s="1"/>
  <c r="G52" i="4" a="1"/>
  <c r="G52" i="4" s="1"/>
  <c r="G44" i="4" a="1"/>
  <c r="G44" i="4" s="1"/>
  <c r="G36" i="4" a="1"/>
  <c r="G36" i="4" s="1"/>
  <c r="G50" i="4" a="1"/>
  <c r="G50" i="4" s="1"/>
  <c r="G42" i="4" a="1"/>
  <c r="G42" i="4" s="1"/>
  <c r="G37" i="4" a="1"/>
  <c r="G37" i="4" s="1"/>
  <c r="G6" i="4" a="1"/>
  <c r="G6" i="4" s="1"/>
  <c r="H6" i="4" a="1"/>
  <c r="H6" i="4" s="1"/>
  <c r="E41" i="4"/>
  <c r="E42" i="4"/>
  <c r="E39" i="4"/>
  <c r="E52" i="4"/>
  <c r="E49" i="4"/>
  <c r="E43" i="4"/>
  <c r="E44" i="4"/>
  <c r="E36" i="4"/>
  <c r="E50" i="4"/>
  <c r="E37" i="4"/>
  <c r="D99" i="4"/>
  <c r="E99" i="4"/>
  <c r="D65" i="4"/>
  <c r="E65" i="4"/>
  <c r="D82" i="4"/>
  <c r="E82" i="4"/>
  <c r="D80" i="4"/>
  <c r="E80" i="4"/>
  <c r="D87" i="4"/>
  <c r="E87" i="4"/>
  <c r="D25" i="4"/>
  <c r="E25" i="4"/>
  <c r="D19" i="4"/>
  <c r="E19" i="4"/>
  <c r="D13" i="4"/>
  <c r="E13" i="4"/>
  <c r="D90" i="4"/>
  <c r="E90" i="4"/>
  <c r="D94" i="4"/>
  <c r="E94" i="4"/>
  <c r="D83" i="4"/>
  <c r="E83" i="4"/>
  <c r="D92" i="4"/>
  <c r="E92" i="4"/>
  <c r="D64" i="4"/>
  <c r="E64" i="4"/>
  <c r="D17" i="4"/>
  <c r="E17" i="4"/>
  <c r="D70" i="4"/>
  <c r="E70" i="4"/>
  <c r="D84" i="4"/>
  <c r="E84" i="4"/>
  <c r="D67" i="4"/>
  <c r="E67" i="4"/>
  <c r="D71" i="4"/>
  <c r="E71" i="4"/>
  <c r="D53" i="4"/>
  <c r="E53" i="4"/>
  <c r="D104" i="4"/>
  <c r="E104" i="4"/>
  <c r="D89" i="4"/>
  <c r="E89" i="4"/>
  <c r="D102" i="4"/>
  <c r="E102" i="4"/>
  <c r="D7" i="4"/>
  <c r="D56" i="4"/>
  <c r="E56" i="4"/>
  <c r="D61" i="4"/>
  <c r="E61" i="4"/>
  <c r="D54" i="4"/>
  <c r="E54" i="4"/>
  <c r="D21" i="4"/>
  <c r="E21" i="4"/>
  <c r="D10" i="4"/>
  <c r="E10" i="4"/>
  <c r="D95" i="4"/>
  <c r="E95" i="4"/>
  <c r="D86" i="4"/>
  <c r="E86" i="4"/>
  <c r="D79" i="4"/>
  <c r="E79" i="4"/>
  <c r="D59" i="4"/>
  <c r="E59" i="4"/>
  <c r="D35" i="4"/>
  <c r="E35" i="4"/>
  <c r="D38" i="4"/>
  <c r="E38" i="4"/>
  <c r="D11" i="4"/>
  <c r="E11" i="4"/>
  <c r="D97" i="4"/>
  <c r="E97" i="4"/>
  <c r="D88" i="4"/>
  <c r="E88" i="4"/>
  <c r="D68" i="4"/>
  <c r="E68" i="4"/>
  <c r="D18" i="4"/>
  <c r="E18" i="4"/>
  <c r="D78" i="4"/>
  <c r="E78" i="4"/>
  <c r="D63" i="4"/>
  <c r="E63" i="4"/>
  <c r="D30" i="4"/>
  <c r="E30" i="4"/>
  <c r="D28" i="4"/>
  <c r="E28" i="4"/>
  <c r="D101" i="4"/>
  <c r="E101" i="4"/>
  <c r="D24" i="4"/>
  <c r="E24" i="4"/>
  <c r="D23" i="4"/>
  <c r="E23" i="4"/>
  <c r="D29" i="4"/>
  <c r="E29" i="4"/>
  <c r="D57" i="4"/>
  <c r="E57" i="4"/>
  <c r="D76" i="4"/>
  <c r="E76" i="4"/>
  <c r="D27" i="4"/>
  <c r="E27" i="4"/>
  <c r="D8" i="4"/>
  <c r="D32" i="4"/>
  <c r="E32" i="4"/>
  <c r="D48" i="4"/>
  <c r="E48" i="4"/>
  <c r="D15" i="4"/>
  <c r="E15" i="4"/>
  <c r="D31" i="4"/>
  <c r="E31" i="4"/>
  <c r="D103" i="4"/>
  <c r="E103" i="4"/>
  <c r="D93" i="4"/>
  <c r="E93" i="4"/>
  <c r="D73" i="4"/>
  <c r="E73" i="4"/>
  <c r="D45" i="4"/>
  <c r="E45" i="4"/>
  <c r="D34" i="4"/>
  <c r="E34" i="4"/>
  <c r="D16" i="4"/>
  <c r="E16" i="4"/>
  <c r="D98" i="4"/>
  <c r="E98" i="4"/>
  <c r="D26" i="4"/>
  <c r="E26" i="4"/>
  <c r="D47" i="4"/>
  <c r="E47" i="4"/>
  <c r="D81" i="4"/>
  <c r="E81" i="4"/>
  <c r="D51" i="4"/>
  <c r="E51" i="4"/>
  <c r="D40" i="4"/>
  <c r="E40" i="4"/>
  <c r="D22" i="4"/>
  <c r="E22" i="4"/>
  <c r="D20" i="4"/>
  <c r="E20" i="4"/>
  <c r="D66" i="4"/>
  <c r="E66" i="4"/>
  <c r="D9" i="4"/>
  <c r="D74" i="4"/>
  <c r="E74" i="4"/>
  <c r="D62" i="4"/>
  <c r="E62" i="4"/>
  <c r="D14" i="4"/>
  <c r="E14" i="4"/>
  <c r="D77" i="4"/>
  <c r="E77" i="4"/>
  <c r="D85" i="4"/>
  <c r="E85" i="4"/>
  <c r="D100" i="4"/>
  <c r="E100" i="4"/>
  <c r="D33" i="4"/>
  <c r="E33" i="4"/>
  <c r="D60" i="4"/>
  <c r="E60" i="4"/>
  <c r="D12" i="4"/>
  <c r="E12" i="4"/>
  <c r="D96" i="4"/>
  <c r="E96" i="4"/>
  <c r="D69" i="4"/>
  <c r="E69" i="4"/>
  <c r="D75" i="4"/>
  <c r="E75" i="4"/>
  <c r="D105" i="4"/>
  <c r="E105" i="4"/>
  <c r="D72" i="4"/>
  <c r="E72" i="4"/>
  <c r="D91" i="4"/>
  <c r="E91" i="4"/>
  <c r="D58" i="4"/>
  <c r="E58" i="4"/>
  <c r="D46" i="4"/>
  <c r="E46" i="4"/>
  <c r="D55" i="4"/>
  <c r="E55" i="4"/>
  <c r="C36" i="4"/>
  <c r="D36" i="4"/>
  <c r="C52" i="4"/>
  <c r="D52" i="4"/>
  <c r="C49" i="4"/>
  <c r="D49" i="4"/>
  <c r="C43" i="4"/>
  <c r="D43" i="4"/>
  <c r="C42" i="4"/>
  <c r="D42" i="4"/>
  <c r="C37" i="4"/>
  <c r="D37" i="4"/>
  <c r="C41" i="4"/>
  <c r="D41" i="4"/>
  <c r="C44" i="4"/>
  <c r="D44" i="4"/>
  <c r="C50" i="4"/>
  <c r="D50" i="4"/>
  <c r="C39" i="4"/>
  <c r="D39" i="4"/>
  <c r="C84" i="4"/>
  <c r="C24" i="4"/>
  <c r="C86" i="4"/>
  <c r="C92" i="4"/>
  <c r="C23" i="4"/>
  <c r="C20" i="4"/>
  <c r="C99" i="4"/>
  <c r="C64" i="4"/>
  <c r="C17" i="4"/>
  <c r="C79" i="4"/>
  <c r="C66" i="4"/>
  <c r="C29" i="4"/>
  <c r="C70" i="4"/>
  <c r="C59" i="4"/>
  <c r="C35" i="4"/>
  <c r="C38" i="4"/>
  <c r="C62" i="4"/>
  <c r="C14" i="4"/>
  <c r="C53" i="4"/>
  <c r="C87" i="4"/>
  <c r="C90" i="4"/>
  <c r="C68" i="4"/>
  <c r="C104" i="4"/>
  <c r="C85" i="4"/>
  <c r="C32" i="4"/>
  <c r="C98" i="4"/>
  <c r="C100" i="4"/>
  <c r="C89" i="4"/>
  <c r="C57" i="4"/>
  <c r="C74" i="4"/>
  <c r="C82" i="4"/>
  <c r="C97" i="4"/>
  <c r="C88" i="4"/>
  <c r="C25" i="4"/>
  <c r="C94" i="4"/>
  <c r="C102" i="4"/>
  <c r="C56" i="4"/>
  <c r="C61" i="4"/>
  <c r="C54" i="4"/>
  <c r="C21" i="4"/>
  <c r="C10" i="4"/>
  <c r="C95" i="4"/>
  <c r="C76" i="4"/>
  <c r="C11" i="4"/>
  <c r="C77" i="4"/>
  <c r="C83" i="4"/>
  <c r="C18" i="4"/>
  <c r="C78" i="4"/>
  <c r="C63" i="4"/>
  <c r="C30" i="4"/>
  <c r="C28" i="4"/>
  <c r="C101" i="4"/>
  <c r="C65" i="4"/>
  <c r="C27" i="4"/>
  <c r="C13" i="4"/>
  <c r="C48" i="4"/>
  <c r="C31" i="4"/>
  <c r="C103" i="4"/>
  <c r="C93" i="4"/>
  <c r="C73" i="4"/>
  <c r="C45" i="4"/>
  <c r="C34" i="4"/>
  <c r="C16" i="4"/>
  <c r="C60" i="4"/>
  <c r="C81" i="4"/>
  <c r="C51" i="4"/>
  <c r="C40" i="4"/>
  <c r="C22" i="4"/>
  <c r="C67" i="4"/>
  <c r="C71" i="4"/>
  <c r="C80" i="4"/>
  <c r="C19" i="4"/>
  <c r="C15" i="4"/>
  <c r="C33" i="4"/>
  <c r="C26" i="4"/>
  <c r="C47" i="4"/>
  <c r="C12" i="4"/>
  <c r="C96" i="4"/>
  <c r="C69" i="4"/>
  <c r="C75" i="4"/>
  <c r="C105" i="4"/>
  <c r="C72" i="4"/>
  <c r="C91" i="4"/>
  <c r="C58" i="4"/>
  <c r="C46" i="4"/>
  <c r="C55" i="4"/>
  <c r="D6" i="4"/>
  <c r="F52" i="4"/>
  <c r="F49" i="4"/>
  <c r="F43" i="4"/>
  <c r="F44" i="4"/>
  <c r="F36" i="4"/>
  <c r="F50" i="4"/>
  <c r="F37" i="4"/>
  <c r="F39" i="4"/>
  <c r="F41" i="4"/>
  <c r="F42" i="4"/>
  <c r="F24" i="4"/>
  <c r="F86" i="4"/>
  <c r="F92" i="4"/>
  <c r="F23" i="4"/>
  <c r="F20" i="4"/>
  <c r="F99" i="4"/>
  <c r="F64" i="4"/>
  <c r="F17" i="4"/>
  <c r="F79" i="4"/>
  <c r="F66" i="4"/>
  <c r="F29" i="4"/>
  <c r="F70" i="4"/>
  <c r="F59" i="4"/>
  <c r="F38" i="4"/>
  <c r="F74" i="4"/>
  <c r="F67" i="4"/>
  <c r="F11" i="4"/>
  <c r="F27" i="4"/>
  <c r="F62" i="4"/>
  <c r="F82" i="4"/>
  <c r="F71" i="4"/>
  <c r="F76" i="4"/>
  <c r="F14" i="4"/>
  <c r="F97" i="4"/>
  <c r="F53" i="4"/>
  <c r="F80" i="4"/>
  <c r="F88" i="4"/>
  <c r="F77" i="4"/>
  <c r="F87" i="4"/>
  <c r="F25" i="4"/>
  <c r="F19" i="4"/>
  <c r="F13" i="4"/>
  <c r="F90" i="4"/>
  <c r="F94" i="4"/>
  <c r="F83" i="4"/>
  <c r="F65" i="4"/>
  <c r="F57" i="4"/>
  <c r="F68" i="4"/>
  <c r="F104" i="4"/>
  <c r="F85" i="4"/>
  <c r="F32" i="4"/>
  <c r="F98" i="4"/>
  <c r="F100" i="4"/>
  <c r="F89" i="4"/>
  <c r="F102" i="4"/>
  <c r="F56" i="4"/>
  <c r="F61" i="4"/>
  <c r="F54" i="4"/>
  <c r="F21" i="4"/>
  <c r="F10" i="4"/>
  <c r="F95" i="4"/>
  <c r="F84" i="4"/>
  <c r="F18" i="4"/>
  <c r="F78" i="4"/>
  <c r="F63" i="4"/>
  <c r="F30" i="4"/>
  <c r="F28" i="4"/>
  <c r="F101" i="4"/>
  <c r="F35" i="4"/>
  <c r="F48" i="4"/>
  <c r="F15" i="4"/>
  <c r="F31" i="4"/>
  <c r="F103" i="4"/>
  <c r="F93" i="4"/>
  <c r="F73" i="4"/>
  <c r="F45" i="4"/>
  <c r="F34" i="4"/>
  <c r="F16" i="4"/>
  <c r="F33" i="4"/>
  <c r="F26" i="4"/>
  <c r="F60" i="4"/>
  <c r="F47" i="4"/>
  <c r="F12" i="4"/>
  <c r="F81" i="4"/>
  <c r="F51" i="4"/>
  <c r="F40" i="4"/>
  <c r="F22" i="4"/>
  <c r="F96" i="4"/>
  <c r="F69" i="4"/>
  <c r="F75" i="4"/>
  <c r="F105" i="4"/>
  <c r="F72" i="4"/>
  <c r="F91" i="4"/>
  <c r="F58" i="4"/>
  <c r="F46" i="4"/>
  <c r="F55" i="4"/>
  <c r="B52" i="4"/>
  <c r="B49" i="4"/>
  <c r="B43" i="4"/>
  <c r="B42" i="4"/>
  <c r="B50" i="4"/>
  <c r="B37" i="4"/>
  <c r="B36" i="4"/>
  <c r="B39" i="4"/>
  <c r="B41" i="4"/>
  <c r="B44" i="4"/>
  <c r="B99" i="4"/>
  <c r="B66" i="4"/>
  <c r="B64" i="4"/>
  <c r="B29" i="4"/>
  <c r="B9" i="4"/>
  <c r="C9" i="4" s="1"/>
  <c r="B65" i="4"/>
  <c r="B38" i="4"/>
  <c r="B82" i="4"/>
  <c r="B14" i="4"/>
  <c r="B97" i="4"/>
  <c r="B8" i="4"/>
  <c r="C8" i="4" s="1"/>
  <c r="B53" i="4"/>
  <c r="B80" i="4"/>
  <c r="B88" i="4"/>
  <c r="B77" i="4"/>
  <c r="B87" i="4"/>
  <c r="B25" i="4"/>
  <c r="B19" i="4"/>
  <c r="B13" i="4"/>
  <c r="B90" i="4"/>
  <c r="B94" i="4"/>
  <c r="B83" i="4"/>
  <c r="B24" i="4"/>
  <c r="B92" i="4"/>
  <c r="B59" i="4"/>
  <c r="B57" i="4"/>
  <c r="B62" i="4"/>
  <c r="B68" i="4"/>
  <c r="B104" i="4"/>
  <c r="B85" i="4"/>
  <c r="B32" i="4"/>
  <c r="B98" i="4"/>
  <c r="B100" i="4"/>
  <c r="B89" i="4"/>
  <c r="B17" i="4"/>
  <c r="B84" i="4"/>
  <c r="B76" i="4"/>
  <c r="B67" i="4"/>
  <c r="B27" i="4"/>
  <c r="B102" i="4"/>
  <c r="B7" i="4"/>
  <c r="C7" i="4" s="1"/>
  <c r="B56" i="4"/>
  <c r="B61" i="4"/>
  <c r="B54" i="4"/>
  <c r="B21" i="4"/>
  <c r="B10" i="4"/>
  <c r="B95" i="4"/>
  <c r="B86" i="4"/>
  <c r="B70" i="4"/>
  <c r="B35" i="4"/>
  <c r="B11" i="4"/>
  <c r="B18" i="4"/>
  <c r="B78" i="4"/>
  <c r="B63" i="4"/>
  <c r="B30" i="4"/>
  <c r="B28" i="4"/>
  <c r="B101" i="4"/>
  <c r="B48" i="4"/>
  <c r="B15" i="4"/>
  <c r="B31" i="4"/>
  <c r="B103" i="4"/>
  <c r="B93" i="4"/>
  <c r="B73" i="4"/>
  <c r="B45" i="4"/>
  <c r="B34" i="4"/>
  <c r="B16" i="4"/>
  <c r="B20" i="4"/>
  <c r="B79" i="4"/>
  <c r="B33" i="4"/>
  <c r="B26" i="4"/>
  <c r="B60" i="4"/>
  <c r="B47" i="4"/>
  <c r="B12" i="4"/>
  <c r="B81" i="4"/>
  <c r="B51" i="4"/>
  <c r="B40" i="4"/>
  <c r="B22" i="4"/>
  <c r="B23" i="4"/>
  <c r="B74" i="4"/>
  <c r="B71" i="4"/>
  <c r="B96" i="4"/>
  <c r="B69" i="4"/>
  <c r="B75" i="4"/>
  <c r="B105" i="4"/>
  <c r="B72" i="4"/>
  <c r="B91" i="4"/>
  <c r="B58" i="4"/>
  <c r="B46" i="4"/>
  <c r="B55" i="4"/>
  <c r="B6" i="4"/>
  <c r="C6" i="4" s="1"/>
  <c r="W31" i="1"/>
  <c r="X31" i="1" s="1" a="1"/>
  <c r="X31" i="1" s="1"/>
  <c r="Z31" i="1"/>
  <c r="AA31" i="1" s="1" a="1"/>
  <c r="AA31" i="1" s="1"/>
  <c r="W30" i="1"/>
  <c r="X30" i="1" s="1" a="1"/>
  <c r="X30" i="1" s="1"/>
  <c r="Z30" i="1"/>
  <c r="AA30" i="1" s="1" a="1"/>
  <c r="AA30" i="1" s="1"/>
  <c r="W29" i="1"/>
  <c r="X29" i="1" s="1" a="1"/>
  <c r="X29" i="1" s="1"/>
  <c r="Z29" i="1"/>
  <c r="AA29" i="1" s="1" a="1"/>
  <c r="AA29" i="1" s="1"/>
  <c r="W28" i="1"/>
  <c r="X28" i="1" s="1" a="1"/>
  <c r="X28" i="1" s="1"/>
  <c r="Z28" i="1"/>
  <c r="AA28" i="1" s="1" a="1"/>
  <c r="AA28" i="1" s="1"/>
  <c r="W27" i="1"/>
  <c r="X27" i="1" s="1" a="1"/>
  <c r="X27" i="1" s="1"/>
  <c r="Z27" i="1"/>
  <c r="AA27" i="1" s="1" a="1"/>
  <c r="AA27" i="1" s="1"/>
  <c r="W26" i="1"/>
  <c r="X26" i="1" s="1" a="1"/>
  <c r="X26" i="1" s="1"/>
  <c r="Z26" i="1"/>
  <c r="AA26" i="1" s="1" a="1"/>
  <c r="AA26" i="1" s="1"/>
  <c r="W25" i="1"/>
  <c r="X25" i="1" s="1" a="1"/>
  <c r="X25" i="1" s="1"/>
  <c r="Z25" i="1"/>
  <c r="AA25" i="1" s="1" a="1"/>
  <c r="AA25" i="1" s="1"/>
  <c r="W24" i="1"/>
  <c r="X24" i="1" s="1" a="1"/>
  <c r="X24" i="1" s="1"/>
  <c r="Z24" i="1"/>
  <c r="AA24" i="1" s="1" a="1"/>
  <c r="AA24" i="1" s="1"/>
  <c r="W23" i="1"/>
  <c r="X23" i="1" s="1" a="1"/>
  <c r="X23" i="1" s="1"/>
  <c r="Z23" i="1"/>
  <c r="AA23" i="1" s="1" a="1"/>
  <c r="AA23" i="1" s="1"/>
  <c r="W22" i="1"/>
  <c r="X22" i="1" s="1" a="1"/>
  <c r="X22" i="1" s="1"/>
  <c r="Z22" i="1"/>
  <c r="AA22" i="1" s="1" a="1"/>
  <c r="AA22" i="1" s="1"/>
  <c r="W21" i="1"/>
  <c r="X21" i="1" s="1" a="1"/>
  <c r="X21" i="1" s="1"/>
  <c r="Z21" i="1"/>
  <c r="AA21" i="1" s="1" a="1"/>
  <c r="AA21" i="1" s="1"/>
  <c r="W20" i="1"/>
  <c r="X20" i="1" s="1" a="1"/>
  <c r="X20" i="1" s="1"/>
  <c r="Z20" i="1"/>
  <c r="AA20" i="1" s="1" a="1"/>
  <c r="AA20" i="1" s="1"/>
  <c r="W19" i="1"/>
  <c r="X19" i="1" s="1" a="1"/>
  <c r="X19" i="1" s="1"/>
  <c r="Z19" i="1"/>
  <c r="AA19" i="1" s="1" a="1"/>
  <c r="AA19" i="1" s="1"/>
  <c r="W18" i="1"/>
  <c r="X18" i="1" s="1" a="1"/>
  <c r="X18" i="1" s="1"/>
  <c r="Z18" i="1"/>
  <c r="AA18" i="1" s="1" a="1"/>
  <c r="AA18" i="1" s="1"/>
  <c r="W17" i="1"/>
  <c r="X17" i="1" s="1" a="1"/>
  <c r="X17" i="1" s="1"/>
  <c r="Z17" i="1"/>
  <c r="AA17" i="1" s="1" a="1"/>
  <c r="AA17" i="1" s="1"/>
  <c r="W16" i="1"/>
  <c r="X16" i="1" s="1" a="1"/>
  <c r="X16" i="1" s="1"/>
  <c r="Z16" i="1"/>
  <c r="AA16" i="1" s="1" a="1"/>
  <c r="AA16" i="1" s="1"/>
  <c r="W15" i="1"/>
  <c r="X15" i="1" s="1" a="1"/>
  <c r="X15" i="1" s="1"/>
  <c r="Z15" i="1"/>
  <c r="AA15" i="1" s="1" a="1"/>
  <c r="AA15" i="1" s="1"/>
  <c r="W14" i="1"/>
  <c r="X14" i="1" s="1" a="1"/>
  <c r="X14" i="1" s="1"/>
  <c r="Z14" i="1"/>
  <c r="AA14" i="1" s="1" a="1"/>
  <c r="AA14" i="1" s="1"/>
  <c r="W13" i="1"/>
  <c r="X13" i="1" s="1" a="1"/>
  <c r="X13" i="1" s="1"/>
  <c r="Z13" i="1"/>
  <c r="AA13" i="1" s="1" a="1"/>
  <c r="AA13" i="1" s="1"/>
  <c r="W12" i="1"/>
  <c r="X12" i="1" s="1" a="1"/>
  <c r="X12" i="1" s="1"/>
  <c r="Z12" i="1"/>
  <c r="AA12" i="1" s="1" a="1"/>
  <c r="AA12" i="1" s="1"/>
  <c r="W11" i="1"/>
  <c r="X11" i="1" s="1" a="1"/>
  <c r="X11" i="1" s="1"/>
  <c r="Z11" i="1"/>
  <c r="AA11" i="1" s="1" a="1"/>
  <c r="AA11" i="1" s="1"/>
  <c r="W10" i="1"/>
  <c r="X10" i="1" s="1" a="1"/>
  <c r="X10" i="1" s="1"/>
  <c r="Z10" i="1"/>
  <c r="AA10" i="1" s="1" a="1"/>
  <c r="AA10" i="1" s="1"/>
  <c r="W9" i="1"/>
  <c r="X9" i="1" s="1" a="1"/>
  <c r="X9" i="1" s="1"/>
  <c r="Z9" i="1"/>
  <c r="AA9" i="1" s="1" a="1"/>
  <c r="AA9" i="1" s="1"/>
  <c r="W8" i="1"/>
  <c r="X8" i="1" s="1" a="1"/>
  <c r="X8" i="1" s="1"/>
  <c r="Z8" i="1"/>
  <c r="AA8" i="1" s="1" a="1"/>
  <c r="AA8" i="1" s="1"/>
  <c r="W7" i="1"/>
  <c r="X7" i="1" s="1" a="1"/>
  <c r="X7" i="1" s="1"/>
  <c r="Z7" i="1"/>
  <c r="AA7" i="1" s="1" a="1"/>
  <c r="AA7" i="1" s="1"/>
  <c r="W6" i="1"/>
  <c r="X6" i="1" s="1" a="1"/>
  <c r="X6" i="1" s="1"/>
  <c r="Z6" i="1"/>
  <c r="AA6" i="1" s="1" a="1"/>
  <c r="AA6" i="1" s="1"/>
  <c r="W5" i="1"/>
  <c r="X5" i="1" s="1" a="1"/>
  <c r="X5" i="1" s="1"/>
  <c r="Z5" i="1"/>
  <c r="AA5" i="1" s="1" a="1"/>
  <c r="AA5" i="1" s="1"/>
  <c r="W4" i="1"/>
  <c r="X4" i="1" s="1" a="1"/>
  <c r="X4" i="1" s="1"/>
  <c r="Z4" i="1"/>
  <c r="AA4" i="1" s="1" a="1"/>
  <c r="AA4" i="1" s="1"/>
  <c r="W3" i="1"/>
  <c r="X3" i="1" s="1" a="1"/>
  <c r="X3" i="1" s="1"/>
  <c r="Z3" i="1"/>
  <c r="AA3" i="1" s="1" a="1"/>
  <c r="AA3" i="1" s="1"/>
  <c r="W2" i="1"/>
  <c r="X2" i="1" s="1" a="1"/>
  <c r="X2" i="1" s="1"/>
  <c r="Z2" i="1"/>
  <c r="AA2" i="1" s="1" a="1"/>
  <c r="AA2" i="1" s="1"/>
  <c r="E7" i="4" l="1"/>
  <c r="F7" i="4" s="1"/>
  <c r="E9" i="4"/>
  <c r="F9" i="4" s="1"/>
  <c r="E8" i="4"/>
  <c r="F8" i="4" s="1"/>
  <c r="E6" i="4"/>
  <c r="F6" i="4" s="1"/>
  <c r="G9" i="3" l="1"/>
  <c r="E9" i="3"/>
  <c r="A13"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<sst xmlns="http://schemas.openxmlformats.org/spreadsheetml/2006/main" count="438" uniqueCount="147">
  <si>
    <t>Project Name</t>
  </si>
  <si>
    <t>Telecaller Name</t>
  </si>
  <si>
    <t>Lead Registration Date</t>
  </si>
  <si>
    <t>Mobile</t>
  </si>
  <si>
    <t>Lead Status</t>
  </si>
  <si>
    <t>Comments</t>
  </si>
  <si>
    <t>Next Followup Date</t>
  </si>
  <si>
    <t>Location</t>
  </si>
  <si>
    <t>Overdue Days</t>
  </si>
  <si>
    <t>Status</t>
  </si>
  <si>
    <t>Analysis Parameter</t>
  </si>
  <si>
    <t>Customer Requirement</t>
  </si>
  <si>
    <t>Source</t>
  </si>
  <si>
    <t>Source Name</t>
  </si>
  <si>
    <t>Totals</t>
  </si>
  <si>
    <t>Digital Marketing</t>
  </si>
  <si>
    <t>SEO</t>
  </si>
  <si>
    <t>Guru Punvaanii EKA</t>
  </si>
  <si>
    <t>Meta_StaticAds_Aug2026</t>
  </si>
  <si>
    <t>Vinutha M1</t>
  </si>
  <si>
    <t>warm</t>
  </si>
  <si>
    <t>Txted in whatsapp asked me to share details</t>
  </si>
  <si>
    <t>Anekal</t>
  </si>
  <si>
    <t>Interested</t>
  </si>
  <si>
    <t>RNR</t>
  </si>
  <si>
    <t>.</t>
  </si>
  <si>
    <t>Rnr</t>
  </si>
  <si>
    <t>..</t>
  </si>
  <si>
    <t>Seeing for 1200-1500sqft , located at uttarahalli , seeing for self use , said budget is fine , asked me to share details they will check and get back</t>
  </si>
  <si>
    <t>In Progress</t>
  </si>
  <si>
    <t>Seeing for 1200-1500sqft , located at uttarahalli , seeing for self use , said budget is fine</t>
  </si>
  <si>
    <t>Guru Punvaanii Elegance</t>
  </si>
  <si>
    <t>Amulya P</t>
  </si>
  <si>
    <t>details shared in whastapp (from rajini num) due to network issue did collected any details</t>
  </si>
  <si>
    <t>Bheemenahalli</t>
  </si>
  <si>
    <t>MCube</t>
  </si>
  <si>
    <t>Instagram Ads</t>
  </si>
  <si>
    <t>Guru Punvaanii Ernika</t>
  </si>
  <si>
    <t>Online Portal</t>
  </si>
  <si>
    <t>99 Acres</t>
  </si>
  <si>
    <t>Said me to share details and price in whatsapp they will see and tell us</t>
  </si>
  <si>
    <t>dint disclose , need to take it next call</t>
  </si>
  <si>
    <t>There was a network issue , said i will call in whatsapp , said yes but whatsapp call also not responded</t>
  </si>
  <si>
    <t>Prospect</t>
  </si>
  <si>
    <t>He said he will call &amp; come for the visit.its raining there.- Aishwarya spoke</t>
  </si>
  <si>
    <t>requirement-1200sqft corner plot location -btm layout purpose- investment now and later for construction</t>
  </si>
  <si>
    <t>Cold</t>
  </si>
  <si>
    <t>rnr</t>
  </si>
  <si>
    <t>Visited</t>
  </si>
  <si>
    <t>details shared in whatsapp he is Looking for 30*40 dimension for investment purpose and end use both located in KR puram budget is uptp 1cr including construction hr is looking he have plan to construct g+2 building asked about permission and he needs some builder reference too he will visit on wednesday with his wife</t>
  </si>
  <si>
    <t>Google Ads</t>
  </si>
  <si>
    <t>Txted in whatsapp , seeing for 30*40 plot bmrda approved , shared details</t>
  </si>
  <si>
    <t>seeing for 30*40 plot bmrda approved ,</t>
  </si>
  <si>
    <t>Rnr-shared details</t>
  </si>
  <si>
    <t>Outoff network</t>
  </si>
  <si>
    <t>Seeing for plots and villas , seeing for self use , located at uttarhalli , seeing for ready for construction , budget -40lakhs , constructed villa -70 lakhs , said them to check with details and get back, picted for eka also</t>
  </si>
  <si>
    <t>Seeing for plots and villas , seeing for self use , located at uttarhalli , seeing for ready for construction , budget -40lakhs , constructed villa -70 lakhs</t>
  </si>
  <si>
    <t>Voice mail</t>
  </si>
  <si>
    <t>Disconnected</t>
  </si>
  <si>
    <t>Busy</t>
  </si>
  <si>
    <t>network issue</t>
  </si>
  <si>
    <t>Seeing for 1200sqft , located at electronic city , seeing for self asked me to share details they will check and get back</t>
  </si>
  <si>
    <t>Seeing for 1200sqft , located at electronic city, seeing for self</t>
  </si>
  <si>
    <t>WhatsApp</t>
  </si>
  <si>
    <t>Rnr-whatsapp message shared</t>
  </si>
  <si>
    <t>looking for 30*40 looking for investment searching from 3 weeks</t>
  </si>
  <si>
    <t>Said me to share details , they will go through and get back</t>
  </si>
  <si>
    <t>need to take requirements in next call</t>
  </si>
  <si>
    <t>Guru Punvaanii Eureka</t>
  </si>
  <si>
    <t>he said he is in travelling now after 15 days he will back tobangalore that time he call and confirm ... he have a problem for price he expecting 2 to 2.5 k for that location</t>
  </si>
  <si>
    <t>Looking for 30*40 and 30*50 dimension Located in nagarbhavi investment purpose didn't disclose budget</t>
  </si>
  <si>
    <t>he is looking for investment purpose his friend refered him our project he is located in MEI layout near baglugunte he is planning to go wiith loan his budget is upto 2.5k/sqft</t>
  </si>
  <si>
    <t>looking for investment purpose located in MEI layout near baglugunte he is planning to go wiith loan his budget is upto 2.5k/sqft</t>
  </si>
  <si>
    <t>Reference</t>
  </si>
  <si>
    <t>Guru Punvaanii Shyam Residency</t>
  </si>
  <si>
    <t>details shared in whastapp he is looking for 30*40 dimension for self use his budget is upto 10K/sqft located in laggere looking for property near peenya since it's near to his current location he will try ro visit today or in weekend</t>
  </si>
  <si>
    <t>Laggere</t>
  </si>
  <si>
    <t>looking for 30*40 dimension for self use his budget is upto 10K/sqft located in laggere looking for property near peenya</t>
  </si>
  <si>
    <t>Manoj Vs 1</t>
  </si>
  <si>
    <t>He is looking for an investment. his budget is 60-70L. explained about Shyam,Etasha and also Eureka. he would like to have all project details. He will go through and he will come back by next week to tke it further</t>
  </si>
  <si>
    <t>Investment</t>
  </si>
  <si>
    <t>Looking for an investment. Budget is 60-70L</t>
  </si>
  <si>
    <t>She is looking for 1500 sq feet plot with 1 cr Budget. she asked to share details and she will go through and she will confirm for visit.</t>
  </si>
  <si>
    <t>Looking for 1500 sq feet plot. in 1cr budget.</t>
  </si>
  <si>
    <t>He asked to share the details. He will check the location first. if its convenient he will confirm for site visit.</t>
  </si>
  <si>
    <t>he did not disclosed.</t>
  </si>
  <si>
    <t>Prathima Hegde</t>
  </si>
  <si>
    <t>Said will talk to Mr.Sanjay Baid and wll confirm</t>
  </si>
  <si>
    <t>Error Type</t>
  </si>
  <si>
    <t>Error Details</t>
  </si>
  <si>
    <t>Recommended Action</t>
  </si>
  <si>
    <t>Severity</t>
  </si>
  <si>
    <t>Audit Status</t>
  </si>
  <si>
    <t>Error Flag</t>
  </si>
  <si>
    <t>Guru Punvaanii – Telecalling Quality Audit</t>
  </si>
  <si>
    <t>Reusable daily audit workbook • paste CRM data into Raw Data</t>
  </si>
  <si>
    <t>CONTENTS</t>
  </si>
  <si>
    <t>Raw Data</t>
  </si>
  <si>
    <t>Paste or replace the daily CRM export; audit formulas extend with the table.</t>
  </si>
  <si>
    <t>Executive Dashboard</t>
  </si>
  <si>
    <t>Management KPIs, reporting period, and headline audit story.</t>
  </si>
  <si>
    <t>Telecaller Performance</t>
  </si>
  <si>
    <t>Ranked accuracy scorecard with ratings and severity counts.</t>
  </si>
  <si>
    <t>Graphical Dashboard</t>
  </si>
  <si>
    <t>Five visual summaries of accuracy, errors, projects, and severity.</t>
  </si>
  <si>
    <t>Detailed Error Report</t>
  </si>
  <si>
    <t>Filterable record-level exceptions with actions and audit status.</t>
  </si>
  <si>
    <t>Daily telecalling quality, risk, and coaching overview</t>
  </si>
  <si>
    <t>Reporting Period</t>
  </si>
  <si>
    <t>Total Leads Audited</t>
  </si>
  <si>
    <t>Total Errors</t>
  </si>
  <si>
    <t>Overall Audit Accuracy</t>
  </si>
  <si>
    <t>Critical Errors</t>
  </si>
  <si>
    <t>Medium Errors</t>
  </si>
  <si>
    <t>Best Performing Telecaller</t>
  </si>
  <si>
    <t>Lowest Performing Telecaller</t>
  </si>
  <si>
    <t>STORY IN BRIEF</t>
  </si>
  <si>
    <t>PERFORMANCE SCORECARD</t>
  </si>
  <si>
    <t>Leads Audited</t>
  </si>
  <si>
    <t>Correct Records</t>
  </si>
  <si>
    <t>Accuracy %</t>
  </si>
  <si>
    <t>Rating</t>
  </si>
  <si>
    <t>Filter any column to search mobile, project, telecaller, severity, or status</t>
  </si>
  <si>
    <t>RECORD-LEVEL AUDIT EXCEPTIONS</t>
  </si>
  <si>
    <t>Mobile Number</t>
  </si>
  <si>
    <t>Current Lead Status</t>
  </si>
  <si>
    <t>CRM Status</t>
  </si>
  <si>
    <t>Wrong Lead Status</t>
  </si>
  <si>
    <t>Cold Status Mismatch</t>
  </si>
  <si>
    <t>Warm Status Mismatch</t>
  </si>
  <si>
    <t>RNR Classification Error</t>
  </si>
  <si>
    <t>Follow-up Error</t>
  </si>
  <si>
    <t>CRM Status Mismatch</t>
  </si>
  <si>
    <t>Project</t>
  </si>
  <si>
    <t>Telecaller</t>
  </si>
  <si>
    <t>Accuracy</t>
  </si>
  <si>
    <t>Errors</t>
  </si>
  <si>
    <t>Count</t>
  </si>
  <si>
    <t>Critical</t>
  </si>
  <si>
    <t>Medium</t>
  </si>
  <si>
    <t>Low</t>
  </si>
  <si>
    <t>MANAGEMENT FOCUS</t>
  </si>
  <si>
    <t>FILTERS ABOVE • all charts update from visible Raw Data rows</t>
  </si>
  <si>
    <t>Use the slicers above to isolate a date, project, telecaller, severity, or error type. Telecaller Accuracy and Errors by Telecaller recalculate from only the visible Raw Data rows.</t>
  </si>
  <si>
    <t>Customer Location Not Captured</t>
  </si>
  <si>
    <t>Ranked scorecard counting every audit error triggered per lead</t>
  </si>
  <si>
    <t>Start with critical classification and overdue follow-up errors, then review customer-location capture for Ernika, Exotica, and EKA. Use the Detailed Error Report filters for coaching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</si>
</sst>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dd/mmm/yyyy\ hh:mm"/>
    <numFmt numFmtId="166" formatCode="0.0%"/>
  </numFmts>
  <fonts count="9" x14ac:knownFonts="1">
    <font>
      <sz val="12"/>
      <color theme="1"/>
      <name val="Calibri"/>
      <family val="2"/>
      <scheme val="minor"/>
    </font>
    <font>
      <b/>
      <sz val="12"/>
      <color rgb="FFFFFFFF"/>
      <name val="Calibri"/>
      <family val="2"/>
      <scheme val="minor"/>
    </font>
    <font>
      <b/>
      <sz val="18"/>
      <color rgb="FFFFFFFF"/>
      <name val="Calibri"/>
      <family val="2"/>
      <scheme val="minor"/>
    </font>
    <font>
      <i/>
      <sz val="10"/>
      <color rgb="FF666666"/>
      <name val="Calibri"/>
      <family val="2"/>
      <scheme val="minor"/>
    </font>
    <font>
      <b/>
      <sz val="12"/>
      <color theme="1"/>
      <name val="Calibri"/>
      <family val="2"/>
      <scheme val="minor"/>
    </font>
    <font>
      <b/>
      <sz val="12"/>
      <color rgb="FF2F75B5"/>
      <name val="Calibri"/>
      <family val="2"/>
      <scheme val="minor"/>
    </font>
    <font>
      <sz val="12"/>
      <color rgb="FF444444"/>
      <name val="Calibri"/>
      <family val="2"/>
      <scheme val="minor"/>
    </font>
    <font>
      <b/>
      <sz val="20"/>
      <color theme="1"/>
      <name val="Calibri"/>
      <family val="2"/>
      <scheme val="minor"/>
    </font>
    <font>
      <b/>
      <sz val="12"/>
      <color rgb="FF17365D"/>
      <name val="Calibri"/>
      <family val="2"/>
      <scheme val="minor"/>
    </font>
  </fonts>
  <fills count="10">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F4CCCC"/>
        <bgColor indexed="64"/>
      </patternFill>
    </fill>
    <fill>
      <patternFill patternType="solid">
        <fgColor rgb="FF4472C4"/>
        <bgColor indexed="64"/>
      </patternFill>
    </fill>
    <fill>
      <patternFill patternType="solid">
        <fgColor rgb="FFF3F6FA"/>
        <bgColor indexed="64"/>
      </patternFill>
    </fill>
  </fills>
  <borders count="1">
    <border>
      <left/>
      <right/>
      <top/>
      <bottom/>
      <diagonal/>
    </border>
  </borders>
  <cellStyleXfs count="1">
    <xf numFmtId="0" fontId="0" fillId="0" borderId="0"/>
  </cellStyleXfs>
  <cellXfs count="31">
    <xf numFmtId="0" fontId="0" fillId="0" borderId="0" xfId="0"/>
    <xf numFmtId="49" fontId="0" fillId="0" borderId="0" xfId="0" applyNumberFormat="1"/>
    <xf numFmtId="164" fontId="0" fillId="0" borderId="0" xfId="0" applyNumberFormat="1"/>
    <xf numFmtId="165" fontId="0" fillId="0" borderId="0" xfId="0" applyNumberFormat="1"/>
    <xf numFmtId="1" fontId="0" fillId="0" borderId="0" xfId="0" applyNumberFormat="1"/>
    <xf numFmtId="0" fontId="5" fillId="0" borderId="0" xfId="0" applyFont="1"/>
    <xf numFmtId="0" fontId="0" fillId="0" borderId="0" xfId="0" applyAlignment="1">
      <alignment wrapText="1"/>
    </xf>
    <xf numFmtId="0" fontId="1" fillId="8" borderId="0" xfId="0" applyFont="1" applyFill="1" applyAlignment="1">
      <alignment horizontal="center"/>
    </xf>
    <xf numFmtId="9" fontId="0" fillId="0" borderId="0" xfId="0" applyNumberFormat="1"/>
    <xf numFmtId="166" fontId="0" fillId="0" borderId="0" xfId="0" applyNumberFormat="1"/>
    <xf numFmtId="0" fontId="0" fillId="0" borderId="0" xfId="0" applyAlignment="1">
      <alignment vertical="top" wrapText="1"/>
    </xf>
    <xf numFmtId="0" fontId="0" fillId="9" borderId="0" xfId="0" applyFill="1"/>
    <xf numFmtId="0" fontId="1" fillId="3" borderId="0" xfId="0" applyFont="1" applyFill="1"/>
    <xf numFmtId="0" fontId="8" fillId="4" borderId="0" xfId="0" applyFont="1" applyFill="1" applyAlignment="1">
      <alignment horizontal="center"/>
    </xf>
    <xf numFmtId="0" fontId="0" fillId="0" borderId="0" xfId="0" applyAlignment="1">
      <alignment vertical="top" wrapText="1"/>
    </xf>
    <xf numFmtId="0" fontId="6" fillId="0" borderId="0" xfId="0" applyFont="1" applyAlignment="1">
      <alignment wrapText="1"/>
    </xf>
    <xf numFmtId="0" fontId="2" fillId="2" borderId="0" xfId="0" applyFont="1" applyFill="1"/>
    <xf numFmtId="0" fontId="3" fillId="0" borderId="0" xfId="0" applyFont="1"/>
    <xf numFmtId="0" fontId="0" fillId="0" borderId="0" xfId="0"/>
    <xf numFmtId="0" fontId="4" fillId="4" borderId="0" xfId="0" applyFont="1" applyFill="1" applyAlignment="1">
      <alignment horizontal="center"/>
    </xf>
    <xf numFmtId="0" fontId="7" fillId="4" borderId="0" xfId="0" applyFont="1" applyFill="1" applyAlignment="1">
      <alignment horizontal="center" vertical="center"/>
    </xf>
    <xf numFmtId="0" fontId="4" fillId="5" borderId="0" xfId="0" applyFont="1" applyFill="1" applyAlignment="1">
      <alignment horizontal="center"/>
    </xf>
    <xf numFmtId="0" fontId="7" fillId="5" borderId="0" xfId="0" applyFont="1" applyFill="1" applyAlignment="1">
      <alignment horizontal="center" vertical="center"/>
    </xf>
    <xf numFmtId="0" fontId="4" fillId="6" borderId="0" xfId="0" applyFont="1" applyFill="1" applyAlignment="1">
      <alignment horizontal="center"/>
    </xf>
    <xf numFmtId="1" fontId="7" fillId="6" borderId="0" xfId="0" applyNumberFormat="1" applyFont="1" applyFill="1" applyAlignment="1">
      <alignment horizontal="center" vertical="center"/>
    </xf>
    <xf numFmtId="0" fontId="7" fillId="6" borderId="0" xfId="0" applyFont="1" applyFill="1" applyAlignment="1">
      <alignment horizontal="center" vertical="center"/>
    </xf>
    <xf numFmtId="166" fontId="7" fillId="5" borderId="0" xfId="0" applyNumberFormat="1" applyFont="1" applyFill="1" applyAlignment="1">
      <alignment horizontal="center" vertical="center"/>
    </xf>
    <xf numFmtId="0" fontId="4" fillId="7" borderId="0" xfId="0" applyFont="1" applyFill="1" applyAlignment="1">
      <alignment horizontal="center"/>
    </xf>
    <xf numFmtId="0" fontId="7" fillId="7" borderId="0" xfId="0" applyFont="1" applyFill="1" applyAlignment="1">
      <alignment horizontal="center" vertical="center"/>
    </xf>
    <xf numFmtId="0" fontId="0" fillId="0" borderId="0" xfId="0" applyAlignment="1">
      <alignment wrapText="1"/>
    </xf>
    <xf numFmtId="0" fontId="0" fillId="5" borderId="0" xfId="0" applyFill="1" applyAlignment="1">
      <alignment horizontal="center" vertical="center"/>
    </xf>
  </cellXfs>
  <cellStyles count="1">
    <cellStyle name="Normal" xfId="0" builtinId="0"/>
  </cellStyles>
  <dxfs count="37">
    <dxf>
      <fill>
        <patternFill patternType="solid">
          <fgColor indexed="64"/>
          <bgColor rgb="FFFFC7CE"/>
        </patternFill>
      </fill>
    </dxf>
    <dxf>
      <fill>
        <patternFill patternType="solid">
          <fgColor indexed="64"/>
          <bgColor rgb="FFFFEB9C"/>
        </patternFill>
      </fill>
    </dxf>
    <dxf>
      <fill>
        <patternFill patternType="solid">
          <fgColor indexed="64"/>
          <bgColor rgb="FFC6EFCE"/>
        </patternFill>
      </fill>
    </dxf>
    <dxf>
      <numFmt numFmtId="0" formatCode="General"/>
      <alignment wrapText="0"/>
    </dxf>
    <dxf>
      <numFmt numFmtId="0" formatCode="General"/>
      <alignment wrapText="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wrapText="0"/>
    </dxf>
    <dxf>
      <numFmt numFmtId="0" formatCode="General"/>
      <alignment wrapText="0"/>
    </dxf>
    <dxf>
      <numFmt numFmtId="164" formatCode="dd/mmm/yyyy"/>
      <alignment wrapText="0"/>
    </dxf>
    <dxf>
      <numFmt numFmtId="0" formatCode="General"/>
      <alignment wrapText="0"/>
    </dxf>
    <dxf>
      <numFmt numFmtId="30" formatCode="@"/>
      <alignment wrapText="0"/>
    </dxf>
    <dxf>
      <numFmt numFmtId="0" formatCode="General"/>
      <alignment wrapText="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center" vertical="bottom" textRotation="0" wrapText="0" indent="0" justifyLastLine="0" shrinkToFit="0" readingOrder="0"/>
    </dxf>
    <dxf>
      <numFmt numFmtId="0" formatCode="General"/>
      <alignment wrapText="0"/>
    </dxf>
    <dxf>
      <numFmt numFmtId="0" formatCode="General"/>
      <alignment wrapText="0"/>
    </dxf>
    <dxf>
      <alignment wrapText="0"/>
    </dxf>
    <dxf>
      <numFmt numFmtId="166" formatCode="0.0%"/>
      <alignment wrapText="0"/>
    </dxf>
    <dxf>
      <numFmt numFmtId="0" formatCode="General"/>
      <alignment wrapText="0"/>
    </dxf>
    <dxf>
      <numFmt numFmtId="0" formatCode="General"/>
      <alignment wrapText="0"/>
    </dxf>
    <dxf>
      <alignment wrapText="0"/>
    </dxf>
    <dxf>
      <numFmt numFmtId="0" formatCode="General"/>
      <alignment wrapText="0"/>
    </dxf>
    <dxf>
      <alignment wrapText="0"/>
    </dxf>
    <dxf>
      <font>
        <b/>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center" vertical="bottom" textRotation="0" wrapText="0" indent="0" justifyLastLine="0" shrinkToFit="0" readingOrder="0"/>
    </dxf>
    <dxf>
      <numFmt numFmtId="1" formatCode="0"/>
    </dxf>
    <dxf>
      <numFmt numFmtId="0" formatCode="General"/>
    </dxf>
    <dxf>
      <numFmt numFmtId="0" formatCode="General"/>
    </dxf>
    <dxf>
      <numFmt numFmtId="0" formatCode="General"/>
      <alignment wrapText="1"/>
    </dxf>
    <dxf>
      <numFmt numFmtId="0" formatCode="General"/>
      <alignment wrapText="1"/>
    </dxf>
    <dxf>
      <numFmt numFmtId="0" formatCode="General"/>
      <alignment wrapText="1"/>
    </dxf>
    <dxf>
      <numFmt numFmtId="1" formatCode="0"/>
    </dxf>
    <dxf>
      <numFmt numFmtId="165" formatCode="dd/mmm/yyyy\ hh:mm"/>
    </dxf>
    <dxf>
      <numFmt numFmtId="164" formatCode="dd/mmm/yyyy"/>
    </dxf>
    <dxf>
      <numFmt numFmtId="30" formatCode="@"/>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Telecaller Accuracy %</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'Raw Data'!$X$1</c:f>
              <c:strCache>
                <c:ptCount val="1"/>
                <c:pt idx="0">
                  <c:v>Accuracy</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Data'!$W$2:$W$5</c:f>
              <c:strCache>
                <c:ptCount val="4"/>
                <c:pt idx="0">
                  <c:v>Prathima Hegde</c:v>
                </c:pt>
                <c:pt idx="1">
                  <c:v>Vinutha M1</c:v>
                </c:pt>
                <c:pt idx="2">
                  <c:v>Amulya P</c:v>
                </c:pt>
                <c:pt idx="3">
                  <c:v>Manoj Vs 1</c:v>
                </c:pt>
              </c:strCache>
            </c:strRef>
          </c:cat>
          <c:val>
            <c:numRef>
              <c:f>'Raw Data'!$X$2:$X$5</c:f>
              <c:numCache>
                <c:formatCode>0%</c:formatCode>
                <c:ptCount val="4"/>
                <c:pt idx="0">
                  <c:v>1</c:v>
                </c:pt>
                <c:pt idx="1">
                  <c:v>0.2142857142857143</c:v>
                </c:pt>
                <c:pt idx="2">
                  <c:v>0.5</c:v>
                </c:pt>
                <c:pt idx="3">
                  <c:v>0</c:v>
                </c:pt>
              </c:numCache>
            </c:numRef>
          </c:val>
          <c:extLst>
            <c:ext xmlns:c16="http://schemas.microsoft.com/office/drawing/2014/chart" uri="{C3380CC4-5D6E-409C-BE32-E72D297353CC}">
              <c16:uniqueId val="{00000000-22A1-4D0F-ADFB-CE3BB6C5DBBB}"/>
            </c:ext>
          </c:extLst>
        </c:ser>
        <c:dLbls>
          <c:showLegendKey val="0"/>
          <c:showVal val="0"/>
          <c:showCatName val="0"/>
          <c:showSerName val="0"/>
          <c:showPercent val="0"/>
          <c:showBubbleSize val="0"/>
        </c:dLbls>
        <c:gapWidth val="182"/>
        <c:axId val="1099502944"/>
        <c:axId val="676636048"/>
      </c:barChart>
      <c:catAx>
        <c:axId val="109950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636048"/>
        <c:crosses val="autoZero"/>
        <c:auto val="1"/>
        <c:lblAlgn val="ctr"/>
        <c:lblOffset val="100"/>
        <c:noMultiLvlLbl val="0"/>
      </c:catAx>
      <c:valAx>
        <c:axId val="6766360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0294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Errors by Telecaller</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'Raw Data'!$AA$1</c:f>
              <c:strCache>
                <c:ptCount val="1"/>
                <c:pt idx="0">
                  <c:v>Errors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Data'!$Z$2:$Z$5</c:f>
              <c:strCache>
                <c:ptCount val="4"/>
                <c:pt idx="0">
                  <c:v>Prathima Hegde</c:v>
                </c:pt>
                <c:pt idx="1">
                  <c:v>Vinutha M1</c:v>
                </c:pt>
                <c:pt idx="2">
                  <c:v>Amulya P</c:v>
                </c:pt>
                <c:pt idx="3">
                  <c:v>Manoj Vs 1</c:v>
                </c:pt>
              </c:strCache>
            </c:strRef>
          </c:cat>
          <c:val>
            <c:numRef>
              <c:f>'Raw Data'!$AA$2:$AA$5</c:f>
              <c:numCache>
                <c:formatCode>General</c:formatCode>
                <c:ptCount val="4"/>
                <c:pt idx="0">
                  <c:v>0</c:v>
                </c:pt>
                <c:pt idx="1">
                  <c:v>22</c:v>
                </c:pt>
                <c:pt idx="2">
                  <c:v>2</c:v>
                </c:pt>
                <c:pt idx="3">
                  <c:v>3</c:v>
                </c:pt>
              </c:numCache>
            </c:numRef>
          </c:val>
          <c:extLst>
            <c:ext xmlns:c16="http://schemas.microsoft.com/office/drawing/2014/chart" uri="{C3380CC4-5D6E-409C-BE32-E72D297353CC}">
              <c16:uniqueId val="{00000000-4345-4E0A-92D0-A02BD3FFCB8C}"/>
            </c:ext>
          </c:extLst>
        </c:ser>
        <c:dLbls>
          <c:showLegendKey val="0"/>
          <c:showVal val="0"/>
          <c:showCatName val="0"/>
          <c:showSerName val="0"/>
          <c:showPercent val="0"/>
          <c:showBubbleSize val="0"/>
        </c:dLbls>
        <c:gapWidth val="219"/>
        <c:overlap val="-27"/>
        <c:axId val="1099666736"/>
        <c:axId val="847996656"/>
      </c:barChart>
      <c:catAx>
        <c:axId val="109966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996656"/>
        <c:crosses val="autoZero"/>
        <c:auto val="1"/>
        <c:lblAlgn val="ctr"/>
        <c:lblOffset val="100"/>
        <c:noMultiLvlLbl val="0"/>
      </c:catAx>
      <c:valAx>
        <c:axId val="847996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6673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Error Type Distribution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'Raw Data'!$AD$1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45-4D3A-95BA-2FB60D856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45-4D3A-95BA-2FB60D856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45-4D3A-95BA-2FB60D8561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45-4D3A-95BA-2FB60D856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45-4D3A-95BA-2FB60D8561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45-4D3A-95BA-2FB60D8561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45-4D3A-95BA-2FB60D85612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 Data'!$AC$2:$AC$8</c:f>
              <c:strCache>
                <c:ptCount val="7"/>
                <c:pt idx="0">
                  <c:v>Wrong Lead Status</c:v>
                </c:pt>
                <c:pt idx="1">
                  <c:v>Cold Status Mismatch</c:v>
                </c:pt>
                <c:pt idx="2">
                  <c:v>Warm Status Mismatch</c:v>
                </c:pt>
                <c:pt idx="3">
                  <c:v>RNR Classification Error</c:v>
                </c:pt>
                <c:pt idx="4">
                  <c:v>Follow-up Error</c:v>
                </c:pt>
                <c:pt idx="5">
                  <c:v>CRM Status Mismatch</c:v>
                </c:pt>
                <c:pt idx="6">
                  <c:v>Customer Location Not Captured</c:v>
                </c:pt>
              </c:strCache>
            </c:strRef>
          </c:cat>
          <c:val>
            <c:numRef>
              <c:f>'Raw Data'!$AD$2:$AD$8</c:f>
              <c:numCache>
                <c:formatCode>General</c:formatCode>
                <c:ptCount val="7"/>
                <c:pt idx="0">
                  <c:v>3</c:v>
                </c:pt>
                <c:pt idx="1">
                  <c:v>0</c:v>
                </c:pt>
                <c:pt idx="2">
                  <c:v>2</c:v>
                </c:pt>
                <c:pt idx="3">
                  <c:v>3</c:v>
                </c:pt>
                <c:pt idx="4">
                  <c:v>2</c:v>
                </c:pt>
                <c:pt idx="5">
                  <c:v>0</c:v>
                </c:pt>
                <c:pt idx="6">
                  <c:v>17</c:v>
                </c:pt>
              </c:numCache>
            </c:numRef>
          </c:val>
          <c:extLst>
            <c:ext xmlns:c16="http://schemas.microsoft.com/office/drawing/2014/chart" uri="{C3380CC4-5D6E-409C-BE32-E72D297353CC}">
              <c16:uniqueId val="{00000000-A200-40CC-9DD9-CE55F16505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Project-wise Errors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'Raw Data'!$AG$1</c:f>
              <c:strCache>
                <c:ptCount val="1"/>
                <c:pt idx="0">
                  <c:v>Errors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Data'!$AF$2:$AF$6</c:f>
              <c:strCache>
                <c:ptCount val="5"/>
                <c:pt idx="0">
                  <c:v>Guru Punvaanii EKA</c:v>
                </c:pt>
                <c:pt idx="1">
                  <c:v>Guru Punvaanii Elegance</c:v>
                </c:pt>
                <c:pt idx="2">
                  <c:v>Guru Punvaanii Ernika</c:v>
                </c:pt>
                <c:pt idx="3">
                  <c:v>Guru Punvaanii Eureka</c:v>
                </c:pt>
                <c:pt idx="4">
                  <c:v>Guru Punvaanii Shyam Residency</c:v>
                </c:pt>
              </c:strCache>
            </c:strRef>
          </c:cat>
          <c:val>
            <c:numRef>
              <c:f>'Raw Data'!$AG$2:$AG$6</c:f>
              <c:numCache>
                <c:formatCode>General</c:formatCode>
                <c:ptCount val="5"/>
                <c:pt idx="0">
                  <c:v>1</c:v>
                </c:pt>
                <c:pt idx="1">
                  <c:v>1</c:v>
                </c:pt>
                <c:pt idx="2">
                  <c:v>21</c:v>
                </c:pt>
                <c:pt idx="3">
                  <c:v>1</c:v>
                </c:pt>
                <c:pt idx="4">
                  <c:v>3</c:v>
                </c:pt>
              </c:numCache>
            </c:numRef>
          </c:val>
          <c:extLst>
            <c:ext xmlns:c16="http://schemas.microsoft.com/office/drawing/2014/chart" uri="{C3380CC4-5D6E-409C-BE32-E72D297353CC}">
              <c16:uniqueId val="{00000000-F3BA-4F8B-8591-1BBE5E908EF0}"/>
            </c:ext>
          </c:extLst>
        </c:ser>
        <c:dLbls>
          <c:showLegendKey val="0"/>
          <c:showVal val="0"/>
          <c:showCatName val="0"/>
          <c:showSerName val="0"/>
          <c:showPercent val="0"/>
          <c:showBubbleSize val="0"/>
        </c:dLbls>
        <c:gapWidth val="219"/>
        <c:overlap val="-27"/>
        <c:axId val="1099487632"/>
        <c:axId val="676698928"/>
      </c:barChart>
      <c:catAx>
        <c:axId val="10994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698928"/>
        <c:crosses val="autoZero"/>
        <c:auto val="1"/>
        <c:lblAlgn val="ctr"/>
        <c:lblOffset val="100"/>
        <c:noMultiLvlLbl val="0"/>
      </c:catAx>
      <c:valAx>
        <c:axId val="67669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8763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Severity Distribution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'Raw Data'!$AJ$1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0E-48FE-8280-8DBABDB6B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0E-48FE-8280-8DBABDB6B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0E-48FE-8280-8DBABDB6BAE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 Data'!$AI$2:$AI$4</c:f>
              <c:strCache>
                <c:ptCount val="3"/>
                <c:pt idx="0">
                  <c:v>Critical</c:v>
                </c:pt>
                <c:pt idx="1">
                  <c:v>Medium</c:v>
                </c:pt>
                <c:pt idx="2">
                  <c:v>Low</c:v>
                </c:pt>
              </c:strCache>
            </c:strRef>
          </c:cat>
          <c:val>
            <c:numRef>
              <c:f>'Raw Data'!$AJ$2:$AJ$4</c:f>
              <c:numCache>
                <c:formatCode>General</c:formatCode>
                <c:ptCount val="3"/>
                <c:pt idx="0">
                  <c:v>8</c:v>
                </c:pt>
                <c:pt idx="1">
                  <c:v>19</c:v>
                </c:pt>
                <c:pt idx="2">
                  <c:v>0</c:v>
                </c:pt>
              </c:numCache>
            </c:numRef>
          </c:val>
          <c:extLst>
            <c:ext xmlns:c16="http://schemas.microsoft.com/office/drawing/2014/chart" uri="{C3380CC4-5D6E-409C-BE32-E72D297353CC}">
              <c16:uniqueId val="{00000000-1514-4D3B-A36B-086CA7CA26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0</xdr:colOff>
      <xdr:row>30</xdr:row>
      <xdr:rowOff>0</xdr:rowOff>
    </xdr:to>
    <xdr:graphicFrame macro="">
      <xdr:nvGraphicFramePr>
        <xdr:cNvPr id="17" name="AccuracyChart">
          <a:extLst>
            <a:ext uri="{FF2B5EF4-FFF2-40B4-BE49-F238E27FC236}">
              <a16:creationId xmlns:a16="http://schemas.microsoft.com/office/drawing/2014/main" id="{68C2FAD4-ECD2-1984-4293-CFBB6A4A5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0</xdr:rowOff>
    </xdr:from>
    <xdr:to>
      <xdr:col>17</xdr:col>
      <xdr:colOff>0</xdr:colOff>
      <xdr:row>30</xdr:row>
      <xdr:rowOff>0</xdr:rowOff>
    </xdr:to>
    <xdr:graphicFrame macro="">
      <xdr:nvGraphicFramePr>
        <xdr:cNvPr id="18" name="ErrorsChart">
          <a:extLst>
            <a:ext uri="{FF2B5EF4-FFF2-40B4-BE49-F238E27FC236}">
              <a16:creationId xmlns:a16="http://schemas.microsoft.com/office/drawing/2014/main" id="{8C934696-3854-0F36-D1BF-C6415A644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8</xdr:col>
      <xdr:colOff>0</xdr:colOff>
      <xdr:row>48</xdr:row>
      <xdr:rowOff>0</xdr:rowOff>
    </xdr:to>
    <xdr:graphicFrame macro="">
      <xdr:nvGraphicFramePr>
        <xdr:cNvPr id="19" name="ErrorTypeChart">
          <a:extLst>
            <a:ext uri="{FF2B5EF4-FFF2-40B4-BE49-F238E27FC236}">
              <a16:creationId xmlns:a16="http://schemas.microsoft.com/office/drawing/2014/main" id="{BA631BDB-5CEC-9D19-E81A-831A3B1F5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31</xdr:row>
      <xdr:rowOff>0</xdr:rowOff>
    </xdr:from>
    <xdr:to>
      <xdr:col>17</xdr:col>
      <xdr:colOff>0</xdr:colOff>
      <xdr:row>48</xdr:row>
      <xdr:rowOff>0</xdr:rowOff>
    </xdr:to>
    <xdr:graphicFrame macro="">
      <xdr:nvGraphicFramePr>
        <xdr:cNvPr id="20" name="ProjectErrorsChart">
          <a:extLst>
            <a:ext uri="{FF2B5EF4-FFF2-40B4-BE49-F238E27FC236}">
              <a16:creationId xmlns:a16="http://schemas.microsoft.com/office/drawing/2014/main" id="{E7662BB2-0C85-98E6-4E23-240D9DA78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49</xdr:row>
      <xdr:rowOff>0</xdr:rowOff>
    </xdr:from>
    <xdr:to>
      <xdr:col>8</xdr:col>
      <xdr:colOff>0</xdr:colOff>
      <xdr:row>66</xdr:row>
      <xdr:rowOff>0</xdr:rowOff>
    </xdr:to>
    <xdr:graphicFrame macro="">
      <xdr:nvGraphicFramePr>
        <xdr:cNvPr id="21" name="SeverityChart">
          <a:extLst>
            <a:ext uri="{FF2B5EF4-FFF2-40B4-BE49-F238E27FC236}">
              <a16:creationId xmlns:a16="http://schemas.microsoft.com/office/drawing/2014/main" id="{80F91C9E-0266-7757-1DE5-B2B57A8C0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3</xdr:row>
      <xdr:rowOff>34925</xdr:rowOff>
    </xdr:from>
    <xdr:to>
      <xdr:col>2</xdr:col>
      <xdr:colOff>596900</xdr:colOff>
      <xdr:row>10</xdr:row>
      <xdr:rowOff>95250</xdr:rowOff>
    </xdr:to>
    <mc:AlternateContent xmlns:mc="http://schemas.openxmlformats.org/markup-compatibility/2006" xmlns:sle15="http://schemas.microsoft.com/office/drawing/2012/slicer">
      <mc:Choice Requires="sle15">
        <xdr:graphicFrame macro="">
          <xdr:nvGraphicFramePr>
            <xdr:cNvPr id="22" name="Audit_Date">
              <a:extLst>
                <a:ext uri="{FF2B5EF4-FFF2-40B4-BE49-F238E27FC236}">
                  <a16:creationId xmlns:a16="http://schemas.microsoft.com/office/drawing/2014/main" id="{51814C7C-8A42-C9C0-D4D4-7F61AF5329D7}"/>
                </a:ext>
              </a:extLst>
            </xdr:cNvPr>
            <xdr:cNvGraphicFramePr/>
          </xdr:nvGraphicFramePr>
          <xdr:xfrm>
            <a:off x="0" y="0"/>
            <a:ext cx="0" cy="0"/>
          </xdr:xfrm>
          <a:graphic>
            <a:graphicData uri="http://schemas.microsoft.com/office/drawing/2010/slicer">
              <sle:slicer xmlns:sle="http://schemas.microsoft.com/office/drawing/2010/slicer" name="Audit_Date"/>
            </a:graphicData>
          </a:graphic>
        </xdr:graphicFrame>
      </mc:Choice>
      <mc:Fallback xmlns="">
        <xdr:sp macro="" textlink="">
          <xdr:nvSpPr>
            <xdr:cNvPr id="0" name=""/>
            <xdr:cNvSpPr>
              <a:spLocks noTextEdit="1"/>
            </xdr:cNvSpPr>
          </xdr:nvSpPr>
          <xdr:spPr>
            <a:xfrm>
              <a:off x="0" y="635000"/>
              <a:ext cx="1968500" cy="1460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228600</xdr:colOff>
      <xdr:row>3</xdr:row>
      <xdr:rowOff>34925</xdr:rowOff>
    </xdr:from>
    <xdr:to>
      <xdr:col>6</xdr:col>
      <xdr:colOff>139700</xdr:colOff>
      <xdr:row>10</xdr:row>
      <xdr:rowOff>95250</xdr:rowOff>
    </xdr:to>
    <mc:AlternateContent xmlns:mc="http://schemas.openxmlformats.org/markup-compatibility/2006" xmlns:sle15="http://schemas.microsoft.com/office/drawing/2012/slicer">
      <mc:Choice Requires="sle15">
        <xdr:graphicFrame macro="">
          <xdr:nvGraphicFramePr>
            <xdr:cNvPr id="23" name="Audit_Project">
              <a:extLst>
                <a:ext uri="{FF2B5EF4-FFF2-40B4-BE49-F238E27FC236}">
                  <a16:creationId xmlns:a16="http://schemas.microsoft.com/office/drawing/2014/main" id="{D9D5FAE2-E521-9742-5968-B9640E525F6B}"/>
                </a:ext>
              </a:extLst>
            </xdr:cNvPr>
            <xdr:cNvGraphicFramePr/>
          </xdr:nvGraphicFramePr>
          <xdr:xfrm>
            <a:off x="0" y="0"/>
            <a:ext cx="0" cy="0"/>
          </xdr:xfrm>
          <a:graphic>
            <a:graphicData uri="http://schemas.microsoft.com/office/drawing/2010/slicer">
              <sle:slicer xmlns:sle="http://schemas.microsoft.com/office/drawing/2010/slicer" name="Audit_Project"/>
            </a:graphicData>
          </a:graphic>
        </xdr:graphicFrame>
      </mc:Choice>
      <mc:Fallback xmlns="">
        <xdr:sp macro="" textlink="">
          <xdr:nvSpPr>
            <xdr:cNvPr id="0" name=""/>
            <xdr:cNvSpPr>
              <a:spLocks noTextEdit="1"/>
            </xdr:cNvSpPr>
          </xdr:nvSpPr>
          <xdr:spPr>
            <a:xfrm>
              <a:off x="2286000" y="635000"/>
              <a:ext cx="1968500" cy="1460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457200</xdr:colOff>
      <xdr:row>3</xdr:row>
      <xdr:rowOff>34925</xdr:rowOff>
    </xdr:from>
    <xdr:to>
      <xdr:col>9</xdr:col>
      <xdr:colOff>368300</xdr:colOff>
      <xdr:row>10</xdr:row>
      <xdr:rowOff>95250</xdr:rowOff>
    </xdr:to>
    <mc:AlternateContent xmlns:mc="http://schemas.openxmlformats.org/markup-compatibility/2006" xmlns:sle15="http://schemas.microsoft.com/office/drawing/2012/slicer">
      <mc:Choice Requires="sle15">
        <xdr:graphicFrame macro="">
          <xdr:nvGraphicFramePr>
            <xdr:cNvPr id="24" name="Audit_Telecaller">
              <a:extLst>
                <a:ext uri="{FF2B5EF4-FFF2-40B4-BE49-F238E27FC236}">
                  <a16:creationId xmlns:a16="http://schemas.microsoft.com/office/drawing/2014/main" id="{1BC3F02D-771F-5846-DDA4-C8C13D808027}"/>
                </a:ext>
              </a:extLst>
            </xdr:cNvPr>
            <xdr:cNvGraphicFramePr/>
          </xdr:nvGraphicFramePr>
          <xdr:xfrm>
            <a:off x="0" y="0"/>
            <a:ext cx="0" cy="0"/>
          </xdr:xfrm>
          <a:graphic>
            <a:graphicData uri="http://schemas.microsoft.com/office/drawing/2010/slicer">
              <sle:slicer xmlns:sle="http://schemas.microsoft.com/office/drawing/2010/slicer" name="Audit_Telecaller"/>
            </a:graphicData>
          </a:graphic>
        </xdr:graphicFrame>
      </mc:Choice>
      <mc:Fallback xmlns="">
        <xdr:sp macro="" textlink="">
          <xdr:nvSpPr>
            <xdr:cNvPr id="0" name=""/>
            <xdr:cNvSpPr>
              <a:spLocks noTextEdit="1"/>
            </xdr:cNvSpPr>
          </xdr:nvSpPr>
          <xdr:spPr>
            <a:xfrm>
              <a:off x="4572000" y="635000"/>
              <a:ext cx="1968500" cy="1460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3</xdr:row>
      <xdr:rowOff>34925</xdr:rowOff>
    </xdr:from>
    <xdr:to>
      <xdr:col>12</xdr:col>
      <xdr:colOff>596900</xdr:colOff>
      <xdr:row>10</xdr:row>
      <xdr:rowOff>95250</xdr:rowOff>
    </xdr:to>
    <mc:AlternateContent xmlns:mc="http://schemas.openxmlformats.org/markup-compatibility/2006" xmlns:sle15="http://schemas.microsoft.com/office/drawing/2012/slicer">
      <mc:Choice Requires="sle15">
        <xdr:graphicFrame macro="">
          <xdr:nvGraphicFramePr>
            <xdr:cNvPr id="25" name="Audit_Severity">
              <a:extLst>
                <a:ext uri="{FF2B5EF4-FFF2-40B4-BE49-F238E27FC236}">
                  <a16:creationId xmlns:a16="http://schemas.microsoft.com/office/drawing/2014/main" id="{97AC1C25-DC6B-BC4A-B5C0-50F371AE40DC}"/>
                </a:ext>
              </a:extLst>
            </xdr:cNvPr>
            <xdr:cNvGraphicFramePr/>
          </xdr:nvGraphicFramePr>
          <xdr:xfrm>
            <a:off x="0" y="0"/>
            <a:ext cx="0" cy="0"/>
          </xdr:xfrm>
          <a:graphic>
            <a:graphicData uri="http://schemas.microsoft.com/office/drawing/2010/slicer">
              <sle:slicer xmlns:sle="http://schemas.microsoft.com/office/drawing/2010/slicer" name="Audit_Severity"/>
            </a:graphicData>
          </a:graphic>
        </xdr:graphicFrame>
      </mc:Choice>
      <mc:Fallback xmlns="">
        <xdr:sp macro="" textlink="">
          <xdr:nvSpPr>
            <xdr:cNvPr id="0" name=""/>
            <xdr:cNvSpPr>
              <a:spLocks noTextEdit="1"/>
            </xdr:cNvSpPr>
          </xdr:nvSpPr>
          <xdr:spPr>
            <a:xfrm>
              <a:off x="6858000" y="635000"/>
              <a:ext cx="1968500" cy="1460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228600</xdr:colOff>
      <xdr:row>3</xdr:row>
      <xdr:rowOff>34925</xdr:rowOff>
    </xdr:from>
    <xdr:to>
      <xdr:col>16</xdr:col>
      <xdr:colOff>139700</xdr:colOff>
      <xdr:row>10</xdr:row>
      <xdr:rowOff>95250</xdr:rowOff>
    </xdr:to>
    <mc:AlternateContent xmlns:mc="http://schemas.openxmlformats.org/markup-compatibility/2006" xmlns:sle15="http://schemas.microsoft.com/office/drawing/2012/slicer">
      <mc:Choice Requires="sle15">
        <xdr:graphicFrame macro="">
          <xdr:nvGraphicFramePr>
            <xdr:cNvPr id="26" name="Audit_ErrorType">
              <a:extLst>
                <a:ext uri="{FF2B5EF4-FFF2-40B4-BE49-F238E27FC236}">
                  <a16:creationId xmlns:a16="http://schemas.microsoft.com/office/drawing/2014/main" id="{09E4B6AB-EF88-B5C4-62FA-8679897301F9}"/>
                </a:ext>
              </a:extLst>
            </xdr:cNvPr>
            <xdr:cNvGraphicFramePr/>
          </xdr:nvGraphicFramePr>
          <xdr:xfrm>
            <a:off x="0" y="0"/>
            <a:ext cx="0" cy="0"/>
          </xdr:xfrm>
          <a:graphic>
            <a:graphicData uri="http://schemas.microsoft.com/office/drawing/2010/slicer">
              <sle:slicer xmlns:sle="http://schemas.microsoft.com/office/drawing/2010/slicer" name="Audit_ErrorType"/>
            </a:graphicData>
          </a:graphic>
        </xdr:graphicFrame>
      </mc:Choice>
      <mc:Fallback xmlns="">
        <xdr:sp macro="" textlink="">
          <xdr:nvSpPr>
            <xdr:cNvPr id="0" name=""/>
            <xdr:cNvSpPr>
              <a:spLocks noTextEdit="1"/>
            </xdr:cNvSpPr>
          </xdr:nvSpPr>
          <xdr:spPr>
            <a:xfrm>
              <a:off x="9144000" y="635000"/>
              <a:ext cx="1968500" cy="1460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Registration_Date" xr10:uid="{0BC0092C-D869-46A6-ACB5-729EEE71E2B5}" sourceName="Lead Registration Dat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CD7D7DC6-1BA6-4B47-9CD8-E7B229FD03B7}" sourceName="Project Name">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lecaller_Name" xr10:uid="{667F5695-5501-468E-8E77-CC59C4867E16}" sourceName="Telecaller Nam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923312D9-6F8F-404F-80ED-3FC64CB2A1BF}" sourceName="Severity">
  <extLst>
    <x:ext xmlns:x15="http://schemas.microsoft.com/office/spreadsheetml/2010/11/main" uri="{2F2917AC-EB37-4324-AD4E-5DD8C200BD13}">
      <x15:tableSlicerCache tableId="1"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rror_Type" xr10:uid="{C2F148D0-D6E8-4088-A484-E4FDC7D8CDB1}" sourceName="Error Type">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udit_Date" xr10:uid="{5ADA60AC-BEC8-439E-B854-D4B5EBD3424E}" cache="Slicer_Lead_Registration_Date" caption="Lead Registration Date" rowHeight="257175"/>
  <slicer name="Audit_Project" xr10:uid="{1053478E-3F26-4AE0-B3F6-2EFA058CE35C}" cache="Slicer_Project_Name" caption="Project Name" rowHeight="257175"/>
  <slicer name="Audit_Telecaller" xr10:uid="{8568B1E8-548C-4C36-A9B6-0E5476C2BC04}" cache="Slicer_Telecaller_Name" caption="Telecaller Name" rowHeight="257175"/>
  <slicer name="Audit_Severity" xr10:uid="{8A922CB7-01F9-4233-9423-8BFA06F00E56}" cache="Slicer_Severity" caption="Severity" rowHeight="257175"/>
  <slicer name="Audit_ErrorType" xr10:uid="{370F4402-8E29-43CA-ABDA-F1076D800B44}" cache="Slicer_Error_Type" caption="Error Type" startItem="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7253A4-792D-4D3B-B2B5-FC48F86C840F}" name="RawData" displayName="RawData" ref="A1:U37" totalsRowShown="0">
  <autoFilter ref="A1:U37" xr:uid="{C97253A4-792D-4D3B-B2B5-FC48F86C840F}"/>
  <tableColumns count="21">
    <tableColumn id="1" xr3:uid="{59D34C9F-57CE-46B2-A272-A1EFAF9C5198}" name="Project Name"/>
    <tableColumn id="2" xr3:uid="{5113F6D5-6A6D-47EB-AE4E-6CE383A7E8C3}" name="Mobile" dataDxfId="36"/>
    <tableColumn id="3" xr3:uid="{4E86AD45-088C-4D5F-ABE8-F7F004FDAB23}" name="Telecaller Name"/>
    <tableColumn id="4" xr3:uid="{57CFD891-FE18-4F14-AB8B-36AEF9D5C426}" name="Lead Registration Date" dataDxfId="35"/>
    <tableColumn id="5" xr3:uid="{91AB1C09-26CF-465D-8AB5-C03F15618919}" name="Lead Status"/>
    <tableColumn id="6" xr3:uid="{752D671E-78CD-46FF-8E10-FB344AD0B0AC}" name="Comments"/>
    <tableColumn id="7" xr3:uid="{2121CE7C-2B0D-4C10-A9FD-1839806F96CC}" name="Next Followup Date" dataDxfId="34"/>
    <tableColumn id="8" xr3:uid="{345FA86D-C412-4D09-A964-AE2F259ED368}" name="Location"/>
    <tableColumn id="9" xr3:uid="{EA3A2FDB-098E-406B-B474-E1980B5F6032}" name="Overdue Days" dataDxfId="33"/>
    <tableColumn id="10" xr3:uid="{ECDAC849-C756-4A74-AB43-70CCDB36D634}" name="Status"/>
    <tableColumn id="11" xr3:uid="{3B4F64EF-63DE-4498-8B66-3E3312DEC179}" name="Analysis Parameter"/>
    <tableColumn id="12" xr3:uid="{0B7EAA1F-201E-45E9-B852-B68D5E8BF81D}" name="Customer Requirement"/>
    <tableColumn id="13" xr3:uid="{7C4E37D4-7C3F-454F-A7EB-B3F2B8FECA74}" name="Source"/>
    <tableColumn id="14" xr3:uid="{1580CB3F-E30E-4CE2-B5E0-0EE5C37D3DA4}" name="Source Name"/>
    <tableColumn id="15" xr3:uid="{5A88AB69-D316-4C4C-A395-55C689FACF19}" name="Totals"/>
    <tableColumn id="16" xr3:uid="{325B0B7A-4678-4FF2-88FF-679012D8ED18}" name="Error Type" dataDxfId="32">
      <calculatedColumnFormula>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calculatedColumnFormula>
    </tableColumn>
    <tableColumn id="17" xr3:uid="{6F399763-7A6E-4AE0-884A-1E4BB6970DFA}" name="Error Details" dataDxfId="31">
      <calculatedColumnFormula>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calculatedColumnFormula>
    </tableColumn>
    <tableColumn id="18" xr3:uid="{10A8C431-FF2A-401D-8C5D-23A89B988D63}" name="Recommended Action" dataDxfId="30">
      <calculatedColumnFormula>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calculatedColumnFormula>
    </tableColumn>
    <tableColumn id="19" xr3:uid="{E811C850-BB86-4EF4-92A4-54DD656219F7}" name="Severity" dataDxfId="29">
      <calculatedColumnFormula>IF(RawData[[#This Row],[Error Flag]]=0,"",IF(OR(ISNUMBER(SEARCH("Wrong Lead Status",RawData[[#This Row],[Error Type]])),ISNUMBER(SEARCH("RNR Classification Error",RawData[[#This Row],[Error Type]])),ISNUMBER(SEARCH("Follow-up Error",RawData[[#This Row],[Error Type]]))),"Critical","Medium"))</calculatedColumnFormula>
    </tableColumn>
    <tableColumn id="20" xr3:uid="{AD6A0625-A74D-44DC-9BB1-7EABEE0AC0E1}" name="Audit Status" dataDxfId="28">
      <calculatedColumnFormula>IF(RawData[[#This Row],[Error Flag]]=0,"Pass","Action Required ("&amp;RawData[[#This Row],[Error Flag]]&amp;IF(RawData[[#This Row],[Error Flag]]=1," error)"," errors)"))</calculatedColumnFormula>
    </tableColumn>
    <tableColumn id="21" xr3:uid="{BEA88A10-2BC3-440C-8D2D-7C95FF77BB9A}" name="Error Flag" dataDxfId="27">
      <calculatedColumnFormula>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125115-A20C-4E34-8EAC-A751A32E4352}" name="PerformanceScorecard" displayName="PerformanceScorecard" ref="A5:H105" totalsRowShown="0" headerRowDxfId="26" dataDxfId="25">
  <autoFilter ref="A5:H105" xr:uid="{FD125115-A20C-4E34-8EAC-A751A32E4352}"/>
  <tableColumns count="8">
    <tableColumn id="1" xr3:uid="{14B0D0E2-F7D1-45BE-B90B-B4D7BEA9D8AE}" name="Telecaller Name" dataDxfId="24"/>
    <tableColumn id="2" xr3:uid="{77766EB4-1173-413E-AFEF-52A758D8BF5D}" name="Leads Audited" dataDxfId="23">
      <calculatedColumnFormula>IF(A6="","",COUNTIF(RawData[Telecaller Name],A6))</calculatedColumnFormula>
    </tableColumn>
    <tableColumn id="3" xr3:uid="{EBBFCB42-5BEC-4272-9E0E-BC23A7A5FEBE}" name="Correct Records" dataDxfId="22">
      <calculatedColumnFormula>IF(A6="","",MAX(0,B6-COUNTIFS(RawData[Telecaller Name],A6,RawData[Error Flag],"&gt;0")))</calculatedColumnFormula>
    </tableColumn>
    <tableColumn id="4" xr3:uid="{CBE549E7-BE51-4055-A0F4-55F0FD65EA15}" name="Total Errors" dataDxfId="21">
      <calculatedColumnFormula>IF(A6="","",SUMIFS(RawData[Error Flag],RawData[Telecaller Name],A6))</calculatedColumnFormula>
    </tableColumn>
    <tableColumn id="5" xr3:uid="{41484227-DA92-4519-AB13-7B71366F33B9}" name="Accuracy %" dataDxfId="20">
      <calculatedColumnFormula>IF(A6="","",MAX(0,1-D6/B6))</calculatedColumnFormula>
    </tableColumn>
    <tableColumn id="6" xr3:uid="{8F89F692-133F-4EA8-B08B-138AF48B20EC}" name="Rating" dataDxfId="19">
      <calculatedColumnFormula>IF(A6="","",IF(E6&gt;=0.95,"★★★★★",IF(E6&gt;=0.9,"★★★★☆",IF(E6&gt;=0.8,"★★★☆☆",IF(E6&gt;=0.7,"★★☆☆☆","★☆☆☆☆")))))</calculatedColumnFormula>
    </tableColumn>
    <tableColumn id="7" xr3:uid="{98073662-8D4D-465F-AB27-70B49AF89CC8}" name="Critical Errors" dataDxfId="18">
      <calculatedColumnFormula array="1">IF(A6="","",SUMPRODUCT(--(RawData[Telecaller Name]=A6),--(ISNUMBER(SEARCH("Wrong Lead Status",RawData[Error Type]))+ISNUMBER(SEARCH("RNR Classification Error",RawData[Error Type]))+ISNUMBER(SEARCH("Follow-up Error",RawData[Error Type]))&gt;0)))</calculatedColumnFormula>
    </tableColumn>
    <tableColumn id="8" xr3:uid="{A4192EA2-C89B-4F79-BA5B-75EBBB3C234C}" name="Medium Errors" dataDxfId="17">
      <calculatedColumnFormula array="1">IF(A6="","",SUMPRODUCT(--(RawData[Telecaller Name]=A6),--ISNUMBER(SEARCH("Warm Status Mismatch",RawData[Error Type])))+SUMPRODUCT(--(RawData[Telecaller Name]=A6),--ISNUMBER(SEARCH("CRM Status Mismatch",RawData[Error Type])))+SUMPRODUCT(--(RawData[Telecaller Name]=A6),--ISNUMBER(SEARCH("Customer Location Not Captured",RawData[Error Type]))))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BE8ED5-3F37-42A1-9275-CD5813623DC2}" name="ErrorDetail" displayName="ErrorDetail" ref="A5:L105" totalsRowShown="0" headerRowDxfId="16" dataDxfId="15">
  <autoFilter ref="A5:L105" xr:uid="{27BE8ED5-3F37-42A1-9275-CD5813623DC2}"/>
  <tableColumns count="12">
    <tableColumn id="1" xr3:uid="{F4DC7046-D4C0-4F30-9ACD-9BC8D1B70B0B}" name="Project Name" dataDxfId="14">
      <calculatedColumnFormula array="1">IFERROR(INDEX(_xlfn._xlws.FILTER(RawData[Project Name],RawData[Error Flag]&gt;0),ROWS(A$6:A6)),"")</calculatedColumnFormula>
    </tableColumn>
    <tableColumn id="2" xr3:uid="{2F4001FA-2E9E-4E07-80FE-D838F612D65F}" name="Mobile Number" dataDxfId="13">
      <calculatedColumnFormula array="1">IFERROR(INDEX(_xlfn._xlws.FILTER(RawData[Mobile],RawData[Error Flag]&gt;0),ROWS(B$6:B6)),"")</calculatedColumnFormula>
    </tableColumn>
    <tableColumn id="3" xr3:uid="{20A2D842-AD92-4CF1-BDD6-D0B36D0DC4F5}" name="Telecaller Name" dataDxfId="12">
      <calculatedColumnFormula array="1">IFERROR(INDEX(_xlfn._xlws.FILTER(RawData[Telecaller Name],RawData[Error Flag]&gt;0),ROWS(C$6:C6)),"")</calculatedColumnFormula>
    </tableColumn>
    <tableColumn id="4" xr3:uid="{169A2E6D-62B9-4D0B-A368-AEB9BCC678D9}" name="Lead Registration Date" dataDxfId="11">
      <calculatedColumnFormula array="1">IFERROR(INDEX(_xlfn._xlws.FILTER(RawData[Lead Registration Date],RawData[Error Flag]&gt;0),ROWS(D$6:D6)),"")</calculatedColumnFormula>
    </tableColumn>
    <tableColumn id="5" xr3:uid="{3C09D2D5-5B2E-4199-B399-8AC2EF315FDB}" name="Current Lead Status" dataDxfId="10">
      <calculatedColumnFormula array="1">IFERROR(INDEX(_xlfn._xlws.FILTER(RawData[Lead Status],RawData[Error Flag]&gt;0),ROWS(E$6:E6)),"")</calculatedColumnFormula>
    </tableColumn>
    <tableColumn id="6" xr3:uid="{F423DC5B-C5A7-4FC8-9EB0-155AF420190A}" name="CRM Status" dataDxfId="9">
      <calculatedColumnFormula array="1">IFERROR(INDEX(_xlfn._xlws.FILTER(RawData[Status],RawData[Error Flag]&gt;0),ROWS(F$6:F6)),"")</calculatedColumnFormula>
    </tableColumn>
    <tableColumn id="7" xr3:uid="{E2004CC0-52C0-4873-8429-5B3520DFFE55}" name="Comments" dataDxfId="8">
      <calculatedColumnFormula array="1">IFERROR(INDEX(_xlfn._xlws.FILTER(RawData[Comments],RawData[Error Flag]&gt;0),ROWS(G$6:G6)),"")</calculatedColumnFormula>
    </tableColumn>
    <tableColumn id="8" xr3:uid="{D9797521-86AF-4452-A5CF-D48C88924DAA}" name="Error Type" dataDxfId="7">
      <calculatedColumnFormula array="1">IFERROR(INDEX(_xlfn._xlws.FILTER(RawData[Error Type],RawData[Error Flag]&gt;0),ROWS(H$6:H6)),"")</calculatedColumnFormula>
    </tableColumn>
    <tableColumn id="9" xr3:uid="{8EDB6F31-085E-4944-BC4A-68320A72D2AA}" name="Error Details" dataDxfId="6">
      <calculatedColumnFormula array="1">IFERROR(INDEX(_xlfn._xlws.FILTER(RawData[Error Details],RawData[Error Flag]&gt;0),ROWS(I$6:I6)),"")</calculatedColumnFormula>
    </tableColumn>
    <tableColumn id="10" xr3:uid="{D075D520-040B-4D68-975F-E4EFF03EB4FE}" name="Recommended Action" dataDxfId="5">
      <calculatedColumnFormula array="1">IFERROR(INDEX(_xlfn._xlws.FILTER(RawData[Recommended Action],RawData[Error Flag]&gt;0),ROWS(J$6:J6)),"")</calculatedColumnFormula>
    </tableColumn>
    <tableColumn id="11" xr3:uid="{FD15273C-2368-4E60-AF7C-2F5CF81820EB}" name="Severity" dataDxfId="4">
      <calculatedColumnFormula array="1">IFERROR(INDEX(_xlfn._xlws.FILTER(RawData[Severity],RawData[Error Flag]&gt;0),ROWS(K$6:K6)),"")</calculatedColumnFormula>
    </tableColumn>
    <tableColumn id="12" xr3:uid="{C9ED703A-27F2-48C7-BB74-578A37FB9726}" name="Audit Status" dataDxfId="3">
      <calculatedColumnFormula array="1">IFERROR(INDEX(_xlfn._xlws.FILTER(RawData[Audit Status],RawData[Error Flag]&gt;0),ROWS(L$6:L6)),"")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D309-8B7A-41B1-BCC8-24EA17F49A5C}">
  <dimension ref="A1:F9"/>
  <sheetViews>
    <sheetView workbookViewId="0">
      <selection activeCell="I10" sqref="I10"/>
    </sheetView>
  </sheetViews>
  <sheetFormatPr defaultRowHeight="15.75" x14ac:dyDescent="0.25"/>
  <cols>
    <col min="1" max="1" width="33.375" customWidth="1"/>
    <col min="2" max="6" width="11.625" customWidth="1"/>
  </cols>
  <sheetData>
    <row r="1" spans="1:6" ht="23.25" x14ac:dyDescent="0.35">
      <c r="A1" s="16" t="s">
        <v>94</v>
      </c>
      <c r="B1" s="16"/>
      <c r="C1" s="16"/>
      <c r="D1" s="16"/>
      <c r="E1" s="16"/>
      <c r="F1" s="16"/>
    </row>
    <row r="2" spans="1:6" x14ac:dyDescent="0.25">
      <c r="A2" s="17" t="s">
        <v>95</v>
      </c>
      <c r="B2" s="17"/>
      <c r="C2" s="17"/>
      <c r="D2" s="17"/>
      <c r="E2" s="17"/>
      <c r="F2" s="17"/>
    </row>
    <row r="4" spans="1:6" x14ac:dyDescent="0.25">
      <c r="A4" s="12" t="s">
        <v>96</v>
      </c>
      <c r="B4" s="12"/>
      <c r="C4" s="12"/>
      <c r="D4" s="12"/>
      <c r="E4" s="12"/>
      <c r="F4" s="12"/>
    </row>
    <row r="5" spans="1:6" x14ac:dyDescent="0.25">
      <c r="A5" s="5" t="s">
        <v>97</v>
      </c>
      <c r="B5" s="15" t="s">
        <v>98</v>
      </c>
      <c r="C5" s="18"/>
      <c r="D5" s="18"/>
      <c r="E5" s="18"/>
      <c r="F5" s="18"/>
    </row>
    <row r="6" spans="1:6" x14ac:dyDescent="0.25">
      <c r="A6" s="5" t="s">
        <v>99</v>
      </c>
      <c r="B6" s="15" t="s">
        <v>100</v>
      </c>
      <c r="C6" s="18"/>
      <c r="D6" s="18"/>
      <c r="E6" s="18"/>
      <c r="F6" s="18"/>
    </row>
    <row r="7" spans="1:6" x14ac:dyDescent="0.25">
      <c r="A7" s="5" t="s">
        <v>101</v>
      </c>
      <c r="B7" s="15" t="s">
        <v>102</v>
      </c>
      <c r="C7" s="18"/>
      <c r="D7" s="18"/>
      <c r="E7" s="18"/>
      <c r="F7" s="18"/>
    </row>
    <row r="8" spans="1:6" x14ac:dyDescent="0.25">
      <c r="A8" s="5" t="s">
        <v>103</v>
      </c>
      <c r="B8" s="15" t="s">
        <v>104</v>
      </c>
      <c r="C8" s="15"/>
      <c r="D8" s="15"/>
      <c r="E8" s="15"/>
      <c r="F8" s="15"/>
    </row>
    <row r="9" spans="1:6" x14ac:dyDescent="0.25">
      <c r="A9" s="5" t="s">
        <v>105</v>
      </c>
      <c r="B9" s="15" t="s">
        <v>106</v>
      </c>
      <c r="C9" s="15"/>
      <c r="D9" s="15"/>
      <c r="E9" s="15"/>
      <c r="F9" s="15"/>
    </row>
  </sheetData>
  <mergeCells count="8">
    <mergeCell ref="B8:F8"/>
    <mergeCell ref="B9:F9"/>
    <mergeCell ref="A1:F1"/>
    <mergeCell ref="A2:F2"/>
    <mergeCell ref="A4:F4"/>
    <mergeCell ref="B5:F5"/>
    <mergeCell ref="B6:F6"/>
    <mergeCell ref="B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00"/>
  <sheetViews>
    <sheetView tabSelected="1" workbookViewId="0">
      <pane ySplit="1" topLeftCell="A2" activePane="bottomLeft" state="frozen"/>
      <selection activeCell="F1" sqref="F1"/>
      <selection pane="bottomLeft" activeCell="C34" sqref="C34"/>
    </sheetView>
  </sheetViews>
  <sheetFormatPr defaultRowHeight="15.75" x14ac:dyDescent="0.25"/>
  <cols>
    <col min="1" max="1" width="28.125" bestFit="1" customWidth="1"/>
    <col min="2" max="2" width="10.875" bestFit="1" customWidth="1"/>
    <col min="3" max="3" width="16.625" bestFit="1" customWidth="1"/>
    <col min="4" max="4" width="22.5" bestFit="1" customWidth="1"/>
    <col min="5" max="5" width="12.75" bestFit="1" customWidth="1"/>
    <col min="6" max="6" width="33.375" style="6" customWidth="1"/>
    <col min="7" max="7" width="20.625" bestFit="1" customWidth="1"/>
    <col min="8" max="8" width="13.125" bestFit="1" customWidth="1"/>
    <col min="9" max="9" width="14.75" bestFit="1" customWidth="1"/>
    <col min="10" max="10" width="9.125" bestFit="1" customWidth="1"/>
    <col min="11" max="11" width="19.5" bestFit="1" customWidth="1"/>
    <col min="12" max="12" width="38.375" bestFit="1" customWidth="1"/>
    <col min="13" max="16" width="33.375" style="6" customWidth="1"/>
    <col min="17" max="17" width="9.875" bestFit="1" customWidth="1"/>
    <col min="18" max="18" width="13.875" bestFit="1" customWidth="1"/>
    <col min="19" max="19" width="11.125" bestFit="1" customWidth="1"/>
  </cols>
  <sheetData>
    <row r="1" spans="1:36" x14ac:dyDescent="0.25">
      <c r="A1" t="s">
        <v>0</v>
      </c>
      <c r="B1" t="s">
        <v>3</v>
      </c>
      <c r="C1" t="s">
        <v>1</v>
      </c>
      <c r="D1" t="s">
        <v>2</v>
      </c>
      <c r="E1" t="s">
        <v>4</v>
      </c>
      <c r="F1" t="s">
        <v>5</v>
      </c>
      <c r="G1" t="s">
        <v>6</v>
      </c>
      <c r="H1" t="s">
        <v>7</v>
      </c>
      <c r="I1" t="s">
        <v>8</v>
      </c>
      <c r="J1" t="s">
        <v>9</v>
      </c>
      <c r="K1" t="s">
        <v>10</v>
      </c>
      <c r="L1" t="s">
        <v>11</v>
      </c>
      <c r="M1" t="s">
        <v>12</v>
      </c>
      <c r="N1" t="s">
        <v>13</v>
      </c>
      <c r="O1" t="s">
        <v>14</v>
      </c>
      <c r="P1" s="6" t="s">
        <v>88</v>
      </c>
      <c r="Q1" t="s">
        <v>89</v>
      </c>
      <c r="R1" t="s">
        <v>90</v>
      </c>
      <c r="S1" t="s">
        <v>91</v>
      </c>
      <c r="T1" t="s">
        <v>92</v>
      </c>
      <c r="U1" t="s">
        <v>93</v>
      </c>
      <c r="V1" t="s">
        <v>135</v>
      </c>
      <c r="W1" t="s">
        <v>134</v>
      </c>
      <c r="X1" t="s">
        <v>135</v>
      </c>
      <c r="Z1" t="s">
        <v>134</v>
      </c>
      <c r="AA1" t="s">
        <v>136</v>
      </c>
      <c r="AC1" t="s">
        <v>88</v>
      </c>
      <c r="AD1" t="s">
        <v>137</v>
      </c>
      <c r="AF1" t="s">
        <v>133</v>
      </c>
      <c r="AG1" t="s">
        <v>136</v>
      </c>
      <c r="AI1" t="s">
        <v>91</v>
      </c>
      <c r="AJ1" t="s">
        <v>137</v>
      </c>
    </row>
    <row r="2" spans="1:36" x14ac:dyDescent="0.25">
      <c r="A2" t="s">
        <v>17</v>
      </c>
      <c r="B2" s="1">
        <v>7899415022</v>
      </c>
      <c r="C2" t="s">
        <v>19</v>
      </c>
      <c r="D2" s="2">
        <v>46254</v>
      </c>
      <c r="E2" t="s">
        <v>20</v>
      </c>
      <c r="F2" t="s">
        <v>28</v>
      </c>
      <c r="G2" s="3">
        <v>46256.458333333336</v>
      </c>
      <c r="I2" s="4">
        <v>-1</v>
      </c>
      <c r="J2" t="s">
        <v>23</v>
      </c>
      <c r="K2" t="s">
        <v>29</v>
      </c>
      <c r="L2" t="s">
        <v>30</v>
      </c>
      <c r="M2" t="s">
        <v>15</v>
      </c>
      <c r="N2" t="s">
        <v>18</v>
      </c>
      <c r="O2">
        <v>1</v>
      </c>
      <c r="P2"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2" t="str">
        <f ca="1">IF(RawData[[#This Row],[Error Flag]]=0,"",IF(OR(ISNUMBER(SEARCH("Wrong Lead Status",RawData[[#This Row],[Error Type]])),ISNUMBER(SEARCH("RNR Classification Error",RawData[[#This Row],[Error Type]])),ISNUMBER(SEARCH("Follow-up Error",RawData[[#This Row],[Error Type]]))),"Critical","Medium"))</f>
        <v/>
      </c>
      <c r="T2" t="str">
        <f ca="1">IF(RawData[[#This Row],[Error Flag]]=0,"Pass","Action Required ("&amp;RawData[[#This Row],[Error Flag]]&amp;IF(RawData[[#This Row],[Error Flag]]=1," error)"," errors)"))</f>
        <v>Pass</v>
      </c>
      <c r="U2"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2" t="str">
        <f ca="1">'Telecaller Performance'!A6</f>
        <v>Prathima Hegde</v>
      </c>
      <c r="X2" s="8" cm="1">
        <f t="array" aca="1" ref="X2" ca="1">IF(W2="",NA(),_xlfn.LET(_xlpm.v,SUBTOTAL(103,OFFSET(RawData[Mobile],ROW(RawData[Mobile])-MIN(ROW(RawData[Mobile])),0,1)),_xlpm.z,SUMPRODUCT(_xlpm.v,--(RawData[Telecaller Name]=W2)),IF(_xlpm.z=0,NA(),MAX(0,1-SUMPRODUCT(_xlpm.v,--(RawData[Telecaller Name]=W2),RawData[Error Flag])/_xlpm.z))))</f>
        <v>1</v>
      </c>
      <c r="Z2" t="str">
        <f ca="1">'Telecaller Performance'!A6</f>
        <v>Prathima Hegde</v>
      </c>
      <c r="AA2" cm="1">
        <f t="array" aca="1" ref="AA2" ca="1">IF(Z2="",NA(),_xlfn.LET(_xlpm.v,SUBTOTAL(103,OFFSET(RawData[Mobile],ROW(RawData[Mobile])-MIN(ROW(RawData[Mobile])),0,1)),_xlpm.z,SUMPRODUCT(_xlpm.v,--(RawData[Telecaller Name]=Z2)),IF(_xlpm.z=0,NA(),SUMPRODUCT(_xlpm.v,--(RawData[Telecaller Name]=Z2),RawData[Error Flag]))))</f>
        <v>0</v>
      </c>
      <c r="AC2" t="s">
        <v>127</v>
      </c>
      <c r="AD2" cm="1">
        <f t="array" aca="1" ref="AD2" ca="1">_xlfn.LET(_xlpm.v,SUBTOTAL(103,OFFSET(RawData[Mobile],ROW(RawData[Mobile])-MIN(ROW(RawData[Mobile])),0,1)),SUMPRODUCT(_xlpm.v,--ISNUMBER(SEARCH(AC2,RawData[Error Type]))))</f>
        <v>3</v>
      </c>
      <c r="AF2" t="str" cm="1">
        <f t="array" ref="AF2">IFERROR(INDEX(_xlfn._xlws.SORT(_xlfn.UNIQUE(_xlfn._xlws.FILTER(RawData[Project Name],RawData[Project Name]&lt;&gt;""))),ROWS(AF$2:AF2)),"")</f>
        <v>Guru Punvaanii EKA</v>
      </c>
      <c r="AG2" cm="1">
        <f t="array" aca="1" ref="AG2" ca="1">IF(AF2="",NA(),_xlfn.LET(_xlpm.v,SUBTOTAL(103,OFFSET(RawData[Mobile],ROW(RawData[Mobile])-MIN(ROW(RawData[Mobile])),0,1)),_xlpm.z,SUMPRODUCT(_xlpm.v,--(RawData[Project Name]=AF2)),IF(_xlpm.z=0,NA(),SUMPRODUCT(_xlpm.v,--(RawData[Project Name]=AF2),RawData[Error Flag]))))</f>
        <v>1</v>
      </c>
      <c r="AI2" t="s">
        <v>138</v>
      </c>
      <c r="AJ2" cm="1">
        <f t="array" aca="1" ref="AJ2" ca="1">_xlfn.LET(_xlpm.v,SUBTOTAL(103,OFFSET(RawData[Mobile],ROW(RawData[Mobile])-MIN(ROW(RawData[Mobile])),0,1)),SUMPRODUCT(_xlpm.v,--ISNUMBER(SEARCH("Wrong Lead Status",RawData[Error Type])))+SUMPRODUCT(_xlpm.v,--ISNUMBER(SEARCH("RNR Classification Error",RawData[Error Type])))+SUMPRODUCT(_xlpm.v,--ISNUMBER(SEARCH("Follow-up Error",RawData[Error Type]))))</f>
        <v>8</v>
      </c>
    </row>
    <row r="3" spans="1:36" ht="110.25" x14ac:dyDescent="0.25">
      <c r="A3" t="s">
        <v>17</v>
      </c>
      <c r="B3" s="1">
        <v>8861583888</v>
      </c>
      <c r="C3" t="s">
        <v>19</v>
      </c>
      <c r="D3" s="2">
        <v>46253</v>
      </c>
      <c r="E3" t="s">
        <v>20</v>
      </c>
      <c r="F3" t="s">
        <v>21</v>
      </c>
      <c r="G3" s="3">
        <v>46256.495138888888</v>
      </c>
      <c r="H3" t="s">
        <v>22</v>
      </c>
      <c r="I3" s="4">
        <v>-1</v>
      </c>
      <c r="J3" t="s">
        <v>23</v>
      </c>
      <c r="K3" t="s">
        <v>24</v>
      </c>
      <c r="L3" t="s">
        <v>25</v>
      </c>
      <c r="M3" t="s">
        <v>15</v>
      </c>
      <c r="N3" t="s">
        <v>16</v>
      </c>
      <c r="O3">
        <v>1</v>
      </c>
      <c r="P3"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3" t="str">
        <f ca="1">IF(RawData[[#This Row],[Error Flag]]=0,"",IF(OR(ISNUMBER(SEARCH("Wrong Lead Status",RawData[[#This Row],[Error Type]])),ISNUMBER(SEARCH("RNR Classification Error",RawData[[#This Row],[Error Type]])),ISNUMBER(SEARCH("Follow-up Error",RawData[[#This Row],[Error Type]]))),"Critical","Medium"))</f>
        <v>Medium</v>
      </c>
      <c r="T3" t="str">
        <f ca="1">IF(RawData[[#This Row],[Error Flag]]=0,"Pass","Action Required ("&amp;RawData[[#This Row],[Error Flag]]&amp;IF(RawData[[#This Row],[Error Flag]]=1," error)"," errors)"))</f>
        <v>Action Required (1 error)</v>
      </c>
      <c r="U3"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3" t="str">
        <f ca="1">'Telecaller Performance'!A7</f>
        <v>Vinutha M1</v>
      </c>
      <c r="X3" s="8" cm="1">
        <f t="array" aca="1" ref="X3" ca="1">IF(W3="",NA(),_xlfn.LET(_xlpm.v,SUBTOTAL(103,OFFSET(RawData[Mobile],ROW(RawData[Mobile])-MIN(ROW(RawData[Mobile])),0,1)),_xlpm.z,SUMPRODUCT(_xlpm.v,--(RawData[Telecaller Name]=W3)),IF(_xlpm.z=0,NA(),MAX(0,1-SUMPRODUCT(_xlpm.v,--(RawData[Telecaller Name]=W3),RawData[Error Flag])/_xlpm.z))))</f>
        <v>0.2142857142857143</v>
      </c>
      <c r="Z3" t="str">
        <f ca="1">'Telecaller Performance'!A7</f>
        <v>Vinutha M1</v>
      </c>
      <c r="AA3" cm="1">
        <f t="array" aca="1" ref="AA3" ca="1">IF(Z3="",NA(),_xlfn.LET(_xlpm.v,SUBTOTAL(103,OFFSET(RawData[Mobile],ROW(RawData[Mobile])-MIN(ROW(RawData[Mobile])),0,1)),_xlpm.z,SUMPRODUCT(_xlpm.v,--(RawData[Telecaller Name]=Z3)),IF(_xlpm.z=0,NA(),SUMPRODUCT(_xlpm.v,--(RawData[Telecaller Name]=Z3),RawData[Error Flag]))))</f>
        <v>22</v>
      </c>
      <c r="AC3" t="s">
        <v>128</v>
      </c>
      <c r="AD3" cm="1">
        <f t="array" aca="1" ref="AD3" ca="1">_xlfn.LET(_xlpm.v,SUBTOTAL(103,OFFSET(RawData[Mobile],ROW(RawData[Mobile])-MIN(ROW(RawData[Mobile])),0,1)),SUMPRODUCT(_xlpm.v,--ISNUMBER(SEARCH(AC3,RawData[Error Type]))))</f>
        <v>0</v>
      </c>
      <c r="AF3" t="str" cm="1">
        <f t="array" ref="AF3">IFERROR(INDEX(_xlfn._xlws.SORT(_xlfn.UNIQUE(_xlfn._xlws.FILTER(RawData[Project Name],RawData[Project Name]&lt;&gt;""))),ROWS(AF$2:AF3)),"")</f>
        <v>Guru Punvaanii Elegance</v>
      </c>
      <c r="AG3" cm="1">
        <f t="array" aca="1" ref="AG3" ca="1">IF(AF3="",NA(),_xlfn.LET(_xlpm.v,SUBTOTAL(103,OFFSET(RawData[Mobile],ROW(RawData[Mobile])-MIN(ROW(RawData[Mobile])),0,1)),_xlpm.z,SUMPRODUCT(_xlpm.v,--(RawData[Project Name]=AF3)),IF(_xlpm.z=0,NA(),SUMPRODUCT(_xlpm.v,--(RawData[Project Name]=AF3),RawData[Error Flag]))))</f>
        <v>1</v>
      </c>
      <c r="AI3" t="s">
        <v>139</v>
      </c>
      <c r="AJ3" cm="1">
        <f t="array" aca="1" ref="AJ3" ca="1">_xlfn.LET(_xlpm.v,SUBTOTAL(103,OFFSET(RawData[Mobile],ROW(RawData[Mobile])-MIN(ROW(RawData[Mobile])),0,1)),SUMPRODUCT(_xlpm.v,--ISNUMBER(SEARCH("Warm Status Mismatch",RawData[Error Type])))+SUMPRODUCT(_xlpm.v,--ISNUMBER(SEARCH("CRM Status Mismatch",RawData[Error Type])))+SUMPRODUCT(_xlpm.v,--ISNUMBER(SEARCH("Customer Location Not Captured",RawData[Error Type]))))</f>
        <v>19</v>
      </c>
    </row>
    <row r="4" spans="1:36" x14ac:dyDescent="0.25">
      <c r="A4" t="s">
        <v>17</v>
      </c>
      <c r="B4" s="1">
        <v>9513809427</v>
      </c>
      <c r="C4" t="s">
        <v>19</v>
      </c>
      <c r="D4" s="2">
        <v>46253</v>
      </c>
      <c r="E4" t="s">
        <v>20</v>
      </c>
      <c r="F4" t="s">
        <v>26</v>
      </c>
      <c r="G4" s="3">
        <v>46256.465277777781</v>
      </c>
      <c r="I4" s="4">
        <v>-1</v>
      </c>
      <c r="J4" t="s">
        <v>23</v>
      </c>
      <c r="K4" t="s">
        <v>24</v>
      </c>
      <c r="L4" t="s">
        <v>27</v>
      </c>
      <c r="M4" t="s">
        <v>15</v>
      </c>
      <c r="N4" t="s">
        <v>18</v>
      </c>
      <c r="O4">
        <v>1</v>
      </c>
      <c r="P4"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4" t="str">
        <f ca="1">IF(RawData[[#This Row],[Error Flag]]=0,"",IF(OR(ISNUMBER(SEARCH("Wrong Lead Status",RawData[[#This Row],[Error Type]])),ISNUMBER(SEARCH("RNR Classification Error",RawData[[#This Row],[Error Type]])),ISNUMBER(SEARCH("Follow-up Error",RawData[[#This Row],[Error Type]]))),"Critical","Medium"))</f>
        <v/>
      </c>
      <c r="T4" t="str">
        <f ca="1">IF(RawData[[#This Row],[Error Flag]]=0,"Pass","Action Required ("&amp;RawData[[#This Row],[Error Flag]]&amp;IF(RawData[[#This Row],[Error Flag]]=1," error)"," errors)"))</f>
        <v>Pass</v>
      </c>
      <c r="U4"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4" t="str">
        <f ca="1">'Telecaller Performance'!A8</f>
        <v>Amulya P</v>
      </c>
      <c r="X4" s="8" cm="1">
        <f t="array" aca="1" ref="X4" ca="1">IF(W4="",NA(),_xlfn.LET(_xlpm.v,SUBTOTAL(103,OFFSET(RawData[Mobile],ROW(RawData[Mobile])-MIN(ROW(RawData[Mobile])),0,1)),_xlpm.z,SUMPRODUCT(_xlpm.v,--(RawData[Telecaller Name]=W4)),IF(_xlpm.z=0,NA(),MAX(0,1-SUMPRODUCT(_xlpm.v,--(RawData[Telecaller Name]=W4),RawData[Error Flag])/_xlpm.z))))</f>
        <v>0.5</v>
      </c>
      <c r="Z4" t="str">
        <f ca="1">'Telecaller Performance'!A8</f>
        <v>Amulya P</v>
      </c>
      <c r="AA4" cm="1">
        <f t="array" aca="1" ref="AA4" ca="1">IF(Z4="",NA(),_xlfn.LET(_xlpm.v,SUBTOTAL(103,OFFSET(RawData[Mobile],ROW(RawData[Mobile])-MIN(ROW(RawData[Mobile])),0,1)),_xlpm.z,SUMPRODUCT(_xlpm.v,--(RawData[Telecaller Name]=Z4)),IF(_xlpm.z=0,NA(),SUMPRODUCT(_xlpm.v,--(RawData[Telecaller Name]=Z4),RawData[Error Flag]))))</f>
        <v>2</v>
      </c>
      <c r="AC4" t="s">
        <v>129</v>
      </c>
      <c r="AD4" cm="1">
        <f t="array" aca="1" ref="AD4" ca="1">_xlfn.LET(_xlpm.v,SUBTOTAL(103,OFFSET(RawData[Mobile],ROW(RawData[Mobile])-MIN(ROW(RawData[Mobile])),0,1)),SUMPRODUCT(_xlpm.v,--ISNUMBER(SEARCH(AC4,RawData[Error Type]))))</f>
        <v>2</v>
      </c>
      <c r="AF4" t="str" cm="1">
        <f t="array" ref="AF4">IFERROR(INDEX(_xlfn._xlws.SORT(_xlfn.UNIQUE(_xlfn._xlws.FILTER(RawData[Project Name],RawData[Project Name]&lt;&gt;""))),ROWS(AF$2:AF4)),"")</f>
        <v>Guru Punvaanii Ernika</v>
      </c>
      <c r="AG4" cm="1">
        <f t="array" aca="1" ref="AG4" ca="1">IF(AF4="",NA(),_xlfn.LET(_xlpm.v,SUBTOTAL(103,OFFSET(RawData[Mobile],ROW(RawData[Mobile])-MIN(ROW(RawData[Mobile])),0,1)),_xlpm.z,SUMPRODUCT(_xlpm.v,--(RawData[Project Name]=AF4)),IF(_xlpm.z=0,NA(),SUMPRODUCT(_xlpm.v,--(RawData[Project Name]=AF4),RawData[Error Flag]))))</f>
        <v>21</v>
      </c>
      <c r="AI4" t="s">
        <v>140</v>
      </c>
      <c r="AJ4">
        <v>0</v>
      </c>
    </row>
    <row r="5" spans="1:36" ht="94.5" x14ac:dyDescent="0.25">
      <c r="A5" t="s">
        <v>31</v>
      </c>
      <c r="B5" s="1">
        <v>9972515173</v>
      </c>
      <c r="C5" t="s">
        <v>32</v>
      </c>
      <c r="D5" s="2">
        <v>46254</v>
      </c>
      <c r="E5" t="s">
        <v>20</v>
      </c>
      <c r="F5" t="s">
        <v>33</v>
      </c>
      <c r="G5" s="3">
        <v>46255.484027777777</v>
      </c>
      <c r="H5" t="s">
        <v>34</v>
      </c>
      <c r="I5" s="4">
        <v>0</v>
      </c>
      <c r="J5" t="s">
        <v>23</v>
      </c>
      <c r="K5" t="s">
        <v>29</v>
      </c>
      <c r="L5" t="s">
        <v>25</v>
      </c>
      <c r="M5" t="s">
        <v>35</v>
      </c>
      <c r="N5" t="s">
        <v>36</v>
      </c>
      <c r="O5">
        <v>1</v>
      </c>
      <c r="P5"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Follow-up Error</v>
      </c>
      <c r="Q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Follow-up date/time has passed for an active lead</v>
      </c>
      <c r="R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immediately and set the next follow-up</v>
      </c>
      <c r="S5" t="str">
        <f ca="1">IF(RawData[[#This Row],[Error Flag]]=0,"",IF(OR(ISNUMBER(SEARCH("Wrong Lead Status",RawData[[#This Row],[Error Type]])),ISNUMBER(SEARCH("RNR Classification Error",RawData[[#This Row],[Error Type]])),ISNUMBER(SEARCH("Follow-up Error",RawData[[#This Row],[Error Type]]))),"Critical","Medium"))</f>
        <v>Critical</v>
      </c>
      <c r="T5" t="str">
        <f ca="1">IF(RawData[[#This Row],[Error Flag]]=0,"Pass","Action Required ("&amp;RawData[[#This Row],[Error Flag]]&amp;IF(RawData[[#This Row],[Error Flag]]=1," error)"," errors)"))</f>
        <v>Action Required (1 error)</v>
      </c>
      <c r="U5"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5" t="str">
        <f ca="1">'Telecaller Performance'!A9</f>
        <v>Manoj Vs 1</v>
      </c>
      <c r="X5" s="8" cm="1">
        <f t="array" aca="1" ref="X5" ca="1">IF(W5="",NA(),_xlfn.LET(_xlpm.v,SUBTOTAL(103,OFFSET(RawData[Mobile],ROW(RawData[Mobile])-MIN(ROW(RawData[Mobile])),0,1)),_xlpm.z,SUMPRODUCT(_xlpm.v,--(RawData[Telecaller Name]=W5)),IF(_xlpm.z=0,NA(),MAX(0,1-SUMPRODUCT(_xlpm.v,--(RawData[Telecaller Name]=W5),RawData[Error Flag])/_xlpm.z))))</f>
        <v>0</v>
      </c>
      <c r="Z5" t="str">
        <f ca="1">'Telecaller Performance'!A9</f>
        <v>Manoj Vs 1</v>
      </c>
      <c r="AA5" cm="1">
        <f t="array" aca="1" ref="AA5" ca="1">IF(Z5="",NA(),_xlfn.LET(_xlpm.v,SUBTOTAL(103,OFFSET(RawData[Mobile],ROW(RawData[Mobile])-MIN(ROW(RawData[Mobile])),0,1)),_xlpm.z,SUMPRODUCT(_xlpm.v,--(RawData[Telecaller Name]=Z5)),IF(_xlpm.z=0,NA(),SUMPRODUCT(_xlpm.v,--(RawData[Telecaller Name]=Z5),RawData[Error Flag]))))</f>
        <v>3</v>
      </c>
      <c r="AC5" t="s">
        <v>130</v>
      </c>
      <c r="AD5" cm="1">
        <f t="array" aca="1" ref="AD5" ca="1">_xlfn.LET(_xlpm.v,SUBTOTAL(103,OFFSET(RawData[Mobile],ROW(RawData[Mobile])-MIN(ROW(RawData[Mobile])),0,1)),SUMPRODUCT(_xlpm.v,--ISNUMBER(SEARCH(AC5,RawData[Error Type]))))</f>
        <v>3</v>
      </c>
      <c r="AF5" t="str" cm="1">
        <f t="array" ref="AF5">IFERROR(INDEX(_xlfn._xlws.SORT(_xlfn.UNIQUE(_xlfn._xlws.FILTER(RawData[Project Name],RawData[Project Name]&lt;&gt;""))),ROWS(AF$2:AF5)),"")</f>
        <v>Guru Punvaanii Eureka</v>
      </c>
      <c r="AG5" cm="1">
        <f t="array" aca="1" ref="AG5" ca="1">IF(AF5="",NA(),_xlfn.LET(_xlpm.v,SUBTOTAL(103,OFFSET(RawData[Mobile],ROW(RawData[Mobile])-MIN(ROW(RawData[Mobile])),0,1)),_xlpm.z,SUMPRODUCT(_xlpm.v,--(RawData[Project Name]=AF5)),IF(_xlpm.z=0,NA(),SUMPRODUCT(_xlpm.v,--(RawData[Project Name]=AF5),RawData[Error Flag]))))</f>
        <v>1</v>
      </c>
    </row>
    <row r="6" spans="1:36" ht="110.25" x14ac:dyDescent="0.25">
      <c r="A6" t="s">
        <v>37</v>
      </c>
      <c r="B6" s="1">
        <v>6361095505</v>
      </c>
      <c r="C6" t="s">
        <v>19</v>
      </c>
      <c r="D6" s="2">
        <v>46254</v>
      </c>
      <c r="E6" t="s">
        <v>20</v>
      </c>
      <c r="F6" t="s">
        <v>26</v>
      </c>
      <c r="G6" s="3">
        <v>46256.493750000001</v>
      </c>
      <c r="H6" t="s">
        <v>22</v>
      </c>
      <c r="I6" s="4">
        <v>-1</v>
      </c>
      <c r="J6" t="s">
        <v>23</v>
      </c>
      <c r="K6" t="s">
        <v>24</v>
      </c>
      <c r="L6" t="s">
        <v>27</v>
      </c>
      <c r="M6" t="s">
        <v>38</v>
      </c>
      <c r="N6" t="s">
        <v>39</v>
      </c>
      <c r="O6">
        <v>1</v>
      </c>
      <c r="P6"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6" t="str">
        <f ca="1">IF(RawData[[#This Row],[Error Flag]]=0,"",IF(OR(ISNUMBER(SEARCH("Wrong Lead Status",RawData[[#This Row],[Error Type]])),ISNUMBER(SEARCH("RNR Classification Error",RawData[[#This Row],[Error Type]])),ISNUMBER(SEARCH("Follow-up Error",RawData[[#This Row],[Error Type]]))),"Critical","Medium"))</f>
        <v>Medium</v>
      </c>
      <c r="T6" t="str">
        <f ca="1">IF(RawData[[#This Row],[Error Flag]]=0,"Pass","Action Required ("&amp;RawData[[#This Row],[Error Flag]]&amp;IF(RawData[[#This Row],[Error Flag]]=1," error)"," errors)"))</f>
        <v>Action Required (1 error)</v>
      </c>
      <c r="U6"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6" t="str">
        <f ca="1">'Telecaller Performance'!A10</f>
        <v/>
      </c>
      <c r="X6" s="8" t="e" cm="1">
        <f t="array" aca="1" ref="X6" ca="1">IF(W6="",NA(),_xlfn.LET(_xlpm.v,SUBTOTAL(103,OFFSET(RawData[Mobile],ROW(RawData[Mobile])-MIN(ROW(RawData[Mobile])),0,1)),_xlpm.z,SUMPRODUCT(_xlpm.v,--(RawData[Telecaller Name]=W6)),IF(_xlpm.z=0,NA(),MAX(0,1-SUMPRODUCT(_xlpm.v,--(RawData[Telecaller Name]=W6),RawData[Error Flag])/_xlpm.z))))</f>
        <v>#N/A</v>
      </c>
      <c r="Z6" t="str">
        <f ca="1">'Telecaller Performance'!A10</f>
        <v/>
      </c>
      <c r="AA6" t="e" cm="1">
        <f t="array" aca="1" ref="AA6" ca="1">IF(Z6="",NA(),_xlfn.LET(_xlpm.v,SUBTOTAL(103,OFFSET(RawData[Mobile],ROW(RawData[Mobile])-MIN(ROW(RawData[Mobile])),0,1)),_xlpm.z,SUMPRODUCT(_xlpm.v,--(RawData[Telecaller Name]=Z6)),IF(_xlpm.z=0,NA(),SUMPRODUCT(_xlpm.v,--(RawData[Telecaller Name]=Z6),RawData[Error Flag]))))</f>
        <v>#N/A</v>
      </c>
      <c r="AC6" t="s">
        <v>131</v>
      </c>
      <c r="AD6" cm="1">
        <f t="array" aca="1" ref="AD6" ca="1">_xlfn.LET(_xlpm.v,SUBTOTAL(103,OFFSET(RawData[Mobile],ROW(RawData[Mobile])-MIN(ROW(RawData[Mobile])),0,1)),SUMPRODUCT(_xlpm.v,--ISNUMBER(SEARCH(AC6,RawData[Error Type]))))</f>
        <v>2</v>
      </c>
      <c r="AF6" t="str" cm="1">
        <f t="array" ref="AF6">IFERROR(INDEX(_xlfn._xlws.SORT(_xlfn.UNIQUE(_xlfn._xlws.FILTER(RawData[Project Name],RawData[Project Name]&lt;&gt;""))),ROWS(AF$2:AF6)),"")</f>
        <v>Guru Punvaanii Shyam Residency</v>
      </c>
      <c r="AG6" cm="1">
        <f t="array" aca="1" ref="AG6" ca="1">IF(AF6="",NA(),_xlfn.LET(_xlpm.v,SUBTOTAL(103,OFFSET(RawData[Mobile],ROW(RawData[Mobile])-MIN(ROW(RawData[Mobile])),0,1)),_xlpm.z,SUMPRODUCT(_xlpm.v,--(RawData[Project Name]=AF6)),IF(_xlpm.z=0,NA(),SUMPRODUCT(_xlpm.v,--(RawData[Project Name]=AF6),RawData[Error Flag]))))</f>
        <v>3</v>
      </c>
    </row>
    <row r="7" spans="1:36" ht="110.25" x14ac:dyDescent="0.25">
      <c r="A7" t="s">
        <v>37</v>
      </c>
      <c r="B7" s="1">
        <v>7019359269</v>
      </c>
      <c r="C7" t="s">
        <v>19</v>
      </c>
      <c r="D7" s="2">
        <v>46253</v>
      </c>
      <c r="E7" t="s">
        <v>20</v>
      </c>
      <c r="F7" t="s">
        <v>26</v>
      </c>
      <c r="G7" s="3">
        <v>46256.427083333336</v>
      </c>
      <c r="H7" t="s">
        <v>22</v>
      </c>
      <c r="I7" s="4">
        <v>-1</v>
      </c>
      <c r="J7" t="s">
        <v>23</v>
      </c>
      <c r="K7" t="s">
        <v>24</v>
      </c>
      <c r="L7" t="s">
        <v>26</v>
      </c>
      <c r="M7" t="s">
        <v>38</v>
      </c>
      <c r="N7" t="s">
        <v>39</v>
      </c>
      <c r="O7">
        <v>1</v>
      </c>
      <c r="P7"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7" t="str">
        <f ca="1">IF(RawData[[#This Row],[Error Flag]]=0,"",IF(OR(ISNUMBER(SEARCH("Wrong Lead Status",RawData[[#This Row],[Error Type]])),ISNUMBER(SEARCH("RNR Classification Error",RawData[[#This Row],[Error Type]])),ISNUMBER(SEARCH("Follow-up Error",RawData[[#This Row],[Error Type]]))),"Critical","Medium"))</f>
        <v>Medium</v>
      </c>
      <c r="T7" t="str">
        <f ca="1">IF(RawData[[#This Row],[Error Flag]]=0,"Pass","Action Required ("&amp;RawData[[#This Row],[Error Flag]]&amp;IF(RawData[[#This Row],[Error Flag]]=1," error)"," errors)"))</f>
        <v>Action Required (1 error)</v>
      </c>
      <c r="U7"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7" t="str">
        <f ca="1">'Telecaller Performance'!A11</f>
        <v/>
      </c>
      <c r="X7" s="8" t="e" cm="1">
        <f t="array" aca="1" ref="X7" ca="1">IF(W7="",NA(),_xlfn.LET(_xlpm.v,SUBTOTAL(103,OFFSET(RawData[Mobile],ROW(RawData[Mobile])-MIN(ROW(RawData[Mobile])),0,1)),_xlpm.z,SUMPRODUCT(_xlpm.v,--(RawData[Telecaller Name]=W7)),IF(_xlpm.z=0,NA(),MAX(0,1-SUMPRODUCT(_xlpm.v,--(RawData[Telecaller Name]=W7),RawData[Error Flag])/_xlpm.z))))</f>
        <v>#N/A</v>
      </c>
      <c r="Z7" t="str">
        <f ca="1">'Telecaller Performance'!A11</f>
        <v/>
      </c>
      <c r="AA7" t="e" cm="1">
        <f t="array" aca="1" ref="AA7" ca="1">IF(Z7="",NA(),_xlfn.LET(_xlpm.v,SUBTOTAL(103,OFFSET(RawData[Mobile],ROW(RawData[Mobile])-MIN(ROW(RawData[Mobile])),0,1)),_xlpm.z,SUMPRODUCT(_xlpm.v,--(RawData[Telecaller Name]=Z7)),IF(_xlpm.z=0,NA(),SUMPRODUCT(_xlpm.v,--(RawData[Telecaller Name]=Z7),RawData[Error Flag]))))</f>
        <v>#N/A</v>
      </c>
      <c r="AC7" t="s">
        <v>132</v>
      </c>
      <c r="AD7" cm="1">
        <f t="array" aca="1" ref="AD7" ca="1">_xlfn.LET(_xlpm.v,SUBTOTAL(103,OFFSET(RawData[Mobile],ROW(RawData[Mobile])-MIN(ROW(RawData[Mobile])),0,1)),SUMPRODUCT(_xlpm.v,--ISNUMBER(SEARCH(AC7,RawData[Error Type]))))</f>
        <v>0</v>
      </c>
      <c r="AF7" t="str" cm="1">
        <f t="array" ref="AF7">IFERROR(INDEX(_xlfn._xlws.SORT(_xlfn.UNIQUE(_xlfn._xlws.FILTER(RawData[Project Name],RawData[Project Name]&lt;&gt;""))),ROWS(AF$2:AF7)),"")</f>
        <v/>
      </c>
      <c r="AG7" t="e" cm="1">
        <f t="array" aca="1" ref="AG7" ca="1">IF(AF7="",NA(),_xlfn.LET(_xlpm.v,SUBTOTAL(103,OFFSET(RawData[Mobile],ROW(RawData[Mobile])-MIN(ROW(RawData[Mobile])),0,1)),_xlpm.z,SUMPRODUCT(_xlpm.v,--(RawData[Project Name]=AF7)),IF(_xlpm.z=0,NA(),SUMPRODUCT(_xlpm.v,--(RawData[Project Name]=AF7),RawData[Error Flag]))))</f>
        <v>#N/A</v>
      </c>
    </row>
    <row r="8" spans="1:36" ht="110.25" x14ac:dyDescent="0.25">
      <c r="A8" t="s">
        <v>37</v>
      </c>
      <c r="B8" s="1">
        <v>7406119929</v>
      </c>
      <c r="C8" t="s">
        <v>19</v>
      </c>
      <c r="D8" s="2">
        <v>46253</v>
      </c>
      <c r="E8" t="s">
        <v>20</v>
      </c>
      <c r="F8" t="s">
        <v>40</v>
      </c>
      <c r="G8" s="3">
        <v>46256.435416666667</v>
      </c>
      <c r="H8" t="s">
        <v>22</v>
      </c>
      <c r="I8" s="4">
        <v>-1</v>
      </c>
      <c r="J8" t="s">
        <v>23</v>
      </c>
      <c r="K8" t="s">
        <v>29</v>
      </c>
      <c r="L8" t="s">
        <v>27</v>
      </c>
      <c r="M8" t="s">
        <v>38</v>
      </c>
      <c r="N8" t="s">
        <v>39</v>
      </c>
      <c r="O8">
        <v>1</v>
      </c>
      <c r="P8"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8" t="str">
        <f ca="1">IF(RawData[[#This Row],[Error Flag]]=0,"",IF(OR(ISNUMBER(SEARCH("Wrong Lead Status",RawData[[#This Row],[Error Type]])),ISNUMBER(SEARCH("RNR Classification Error",RawData[[#This Row],[Error Type]])),ISNUMBER(SEARCH("Follow-up Error",RawData[[#This Row],[Error Type]]))),"Critical","Medium"))</f>
        <v>Medium</v>
      </c>
      <c r="T8" t="str">
        <f ca="1">IF(RawData[[#This Row],[Error Flag]]=0,"Pass","Action Required ("&amp;RawData[[#This Row],[Error Flag]]&amp;IF(RawData[[#This Row],[Error Flag]]=1," error)"," errors)"))</f>
        <v>Action Required (1 error)</v>
      </c>
      <c r="U8"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8" t="str">
        <f ca="1">'Telecaller Performance'!A12</f>
        <v/>
      </c>
      <c r="X8" s="8" t="e" cm="1">
        <f t="array" aca="1" ref="X8" ca="1">IF(W8="",NA(),_xlfn.LET(_xlpm.v,SUBTOTAL(103,OFFSET(RawData[Mobile],ROW(RawData[Mobile])-MIN(ROW(RawData[Mobile])),0,1)),_xlpm.z,SUMPRODUCT(_xlpm.v,--(RawData[Telecaller Name]=W8)),IF(_xlpm.z=0,NA(),MAX(0,1-SUMPRODUCT(_xlpm.v,--(RawData[Telecaller Name]=W8),RawData[Error Flag])/_xlpm.z))))</f>
        <v>#N/A</v>
      </c>
      <c r="Z8" t="str">
        <f ca="1">'Telecaller Performance'!A12</f>
        <v/>
      </c>
      <c r="AA8" t="e" cm="1">
        <f t="array" aca="1" ref="AA8" ca="1">IF(Z8="",NA(),_xlfn.LET(_xlpm.v,SUBTOTAL(103,OFFSET(RawData[Mobile],ROW(RawData[Mobile])-MIN(ROW(RawData[Mobile])),0,1)),_xlpm.z,SUMPRODUCT(_xlpm.v,--(RawData[Telecaller Name]=Z8)),IF(_xlpm.z=0,NA(),SUMPRODUCT(_xlpm.v,--(RawData[Telecaller Name]=Z8),RawData[Error Flag]))))</f>
        <v>#N/A</v>
      </c>
      <c r="AC8" t="s">
        <v>144</v>
      </c>
      <c r="AD8" cm="1">
        <f t="array" aca="1" ref="AD8" ca="1">_xlfn.LET(_xlpm.v,SUBTOTAL(103,OFFSET(RawData[Mobile],ROW(RawData[Mobile])-MIN(ROW(RawData[Mobile])),0,1)),SUMPRODUCT(_xlpm.v,--ISNUMBER(SEARCH(AC8,RawData[Error Type]))))</f>
        <v>17</v>
      </c>
      <c r="AF8" t="str" cm="1">
        <f t="array" ref="AF8">IFERROR(INDEX(_xlfn._xlws.SORT(_xlfn.UNIQUE(_xlfn._xlws.FILTER(RawData[Project Name],RawData[Project Name]&lt;&gt;""))),ROWS(AF$2:AF8)),"")</f>
        <v/>
      </c>
      <c r="AG8" t="e" cm="1">
        <f t="array" aca="1" ref="AG8" ca="1">IF(AF8="",NA(),_xlfn.LET(_xlpm.v,SUBTOTAL(103,OFFSET(RawData[Mobile],ROW(RawData[Mobile])-MIN(ROW(RawData[Mobile])),0,1)),_xlpm.z,SUMPRODUCT(_xlpm.v,--(RawData[Project Name]=AF8)),IF(_xlpm.z=0,NA(),SUMPRODUCT(_xlpm.v,--(RawData[Project Name]=AF8),RawData[Error Flag]))))</f>
        <v>#N/A</v>
      </c>
    </row>
    <row r="9" spans="1:36" ht="110.25" x14ac:dyDescent="0.25">
      <c r="A9" t="s">
        <v>37</v>
      </c>
      <c r="B9" s="1">
        <v>7795505658</v>
      </c>
      <c r="C9" t="s">
        <v>19</v>
      </c>
      <c r="D9" s="2">
        <v>46253</v>
      </c>
      <c r="E9" t="s">
        <v>20</v>
      </c>
      <c r="F9" t="s">
        <v>26</v>
      </c>
      <c r="G9" s="3">
        <v>46256.469444444447</v>
      </c>
      <c r="H9" t="s">
        <v>22</v>
      </c>
      <c r="I9" s="4">
        <v>-1</v>
      </c>
      <c r="J9" t="s">
        <v>23</v>
      </c>
      <c r="K9" t="s">
        <v>29</v>
      </c>
      <c r="L9" t="s">
        <v>41</v>
      </c>
      <c r="M9" t="s">
        <v>38</v>
      </c>
      <c r="N9" t="s">
        <v>39</v>
      </c>
      <c r="O9">
        <v>1</v>
      </c>
      <c r="P9"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9" t="str">
        <f ca="1">IF(RawData[[#This Row],[Error Flag]]=0,"",IF(OR(ISNUMBER(SEARCH("Wrong Lead Status",RawData[[#This Row],[Error Type]])),ISNUMBER(SEARCH("RNR Classification Error",RawData[[#This Row],[Error Type]])),ISNUMBER(SEARCH("Follow-up Error",RawData[[#This Row],[Error Type]]))),"Critical","Medium"))</f>
        <v>Medium</v>
      </c>
      <c r="T9" t="str">
        <f ca="1">IF(RawData[[#This Row],[Error Flag]]=0,"Pass","Action Required ("&amp;RawData[[#This Row],[Error Flag]]&amp;IF(RawData[[#This Row],[Error Flag]]=1," error)"," errors)"))</f>
        <v>Action Required (1 error)</v>
      </c>
      <c r="U9"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9" t="str">
        <f ca="1">'Telecaller Performance'!A13</f>
        <v/>
      </c>
      <c r="X9" s="8" t="e" cm="1">
        <f t="array" aca="1" ref="X9" ca="1">IF(W9="",NA(),_xlfn.LET(_xlpm.v,SUBTOTAL(103,OFFSET(RawData[Mobile],ROW(RawData[Mobile])-MIN(ROW(RawData[Mobile])),0,1)),_xlpm.z,SUMPRODUCT(_xlpm.v,--(RawData[Telecaller Name]=W9)),IF(_xlpm.z=0,NA(),MAX(0,1-SUMPRODUCT(_xlpm.v,--(RawData[Telecaller Name]=W9),RawData[Error Flag])/_xlpm.z))))</f>
        <v>#N/A</v>
      </c>
      <c r="Z9" t="str">
        <f ca="1">'Telecaller Performance'!A13</f>
        <v/>
      </c>
      <c r="AA9" t="e" cm="1">
        <f t="array" aca="1" ref="AA9" ca="1">IF(Z9="",NA(),_xlfn.LET(_xlpm.v,SUBTOTAL(103,OFFSET(RawData[Mobile],ROW(RawData[Mobile])-MIN(ROW(RawData[Mobile])),0,1)),_xlpm.z,SUMPRODUCT(_xlpm.v,--(RawData[Telecaller Name]=Z9)),IF(_xlpm.z=0,NA(),SUMPRODUCT(_xlpm.v,--(RawData[Telecaller Name]=Z9),RawData[Error Flag]))))</f>
        <v>#N/A</v>
      </c>
      <c r="AF9" t="str" cm="1">
        <f t="array" ref="AF9">IFERROR(INDEX(_xlfn._xlws.SORT(_xlfn.UNIQUE(_xlfn._xlws.FILTER(RawData[Project Name],RawData[Project Name]&lt;&gt;""))),ROWS(AF$2:AF9)),"")</f>
        <v/>
      </c>
      <c r="AG9" t="e" cm="1">
        <f t="array" aca="1" ref="AG9" ca="1">IF(AF9="",NA(),_xlfn.LET(_xlpm.v,SUBTOTAL(103,OFFSET(RawData[Mobile],ROW(RawData[Mobile])-MIN(ROW(RawData[Mobile])),0,1)),_xlpm.z,SUMPRODUCT(_xlpm.v,--(RawData[Project Name]=AF9)),IF(_xlpm.z=0,NA(),SUMPRODUCT(_xlpm.v,--(RawData[Project Name]=AF9),RawData[Error Flag]))))</f>
        <v>#N/A</v>
      </c>
    </row>
    <row r="10" spans="1:36" x14ac:dyDescent="0.25">
      <c r="A10" t="s">
        <v>37</v>
      </c>
      <c r="B10" s="1">
        <v>7975982783</v>
      </c>
      <c r="C10" t="s">
        <v>19</v>
      </c>
      <c r="D10" s="2">
        <v>46253</v>
      </c>
      <c r="E10" t="s">
        <v>20</v>
      </c>
      <c r="F10" t="s">
        <v>42</v>
      </c>
      <c r="G10" s="3">
        <v>46256.423611111109</v>
      </c>
      <c r="I10" s="4">
        <v>-1</v>
      </c>
      <c r="J10" t="s">
        <v>23</v>
      </c>
      <c r="K10" t="s">
        <v>24</v>
      </c>
      <c r="L10" t="s">
        <v>27</v>
      </c>
      <c r="M10" t="s">
        <v>15</v>
      </c>
      <c r="N10" t="s">
        <v>18</v>
      </c>
      <c r="O10">
        <v>1</v>
      </c>
      <c r="P10"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1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1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10" t="str">
        <f ca="1">IF(RawData[[#This Row],[Error Flag]]=0,"",IF(OR(ISNUMBER(SEARCH("Wrong Lead Status",RawData[[#This Row],[Error Type]])),ISNUMBER(SEARCH("RNR Classification Error",RawData[[#This Row],[Error Type]])),ISNUMBER(SEARCH("Follow-up Error",RawData[[#This Row],[Error Type]]))),"Critical","Medium"))</f>
        <v/>
      </c>
      <c r="T10" t="str">
        <f ca="1">IF(RawData[[#This Row],[Error Flag]]=0,"Pass","Action Required ("&amp;RawData[[#This Row],[Error Flag]]&amp;IF(RawData[[#This Row],[Error Flag]]=1," error)"," errors)"))</f>
        <v>Pass</v>
      </c>
      <c r="U10"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10" t="str">
        <f ca="1">'Telecaller Performance'!A14</f>
        <v/>
      </c>
      <c r="X10" s="8" t="e" cm="1">
        <f t="array" aca="1" ref="X10" ca="1">IF(W10="",NA(),_xlfn.LET(_xlpm.v,SUBTOTAL(103,OFFSET(RawData[Mobile],ROW(RawData[Mobile])-MIN(ROW(RawData[Mobile])),0,1)),_xlpm.z,SUMPRODUCT(_xlpm.v,--(RawData[Telecaller Name]=W10)),IF(_xlpm.z=0,NA(),MAX(0,1-SUMPRODUCT(_xlpm.v,--(RawData[Telecaller Name]=W10),RawData[Error Flag])/_xlpm.z))))</f>
        <v>#N/A</v>
      </c>
      <c r="Z10" t="str">
        <f ca="1">'Telecaller Performance'!A14</f>
        <v/>
      </c>
      <c r="AA10" t="e" cm="1">
        <f t="array" aca="1" ref="AA10" ca="1">IF(Z10="",NA(),_xlfn.LET(_xlpm.v,SUBTOTAL(103,OFFSET(RawData[Mobile],ROW(RawData[Mobile])-MIN(ROW(RawData[Mobile])),0,1)),_xlpm.z,SUMPRODUCT(_xlpm.v,--(RawData[Telecaller Name]=Z10)),IF(_xlpm.z=0,NA(),SUMPRODUCT(_xlpm.v,--(RawData[Telecaller Name]=Z10),RawData[Error Flag]))))</f>
        <v>#N/A</v>
      </c>
      <c r="AF10" t="str" cm="1">
        <f t="array" ref="AF10">IFERROR(INDEX(_xlfn._xlws.SORT(_xlfn.UNIQUE(_xlfn._xlws.FILTER(RawData[Project Name],RawData[Project Name]&lt;&gt;""))),ROWS(AF$2:AF10)),"")</f>
        <v/>
      </c>
      <c r="AG10" t="e" cm="1">
        <f t="array" aca="1" ref="AG10" ca="1">IF(AF10="",NA(),_xlfn.LET(_xlpm.v,SUBTOTAL(103,OFFSET(RawData[Mobile],ROW(RawData[Mobile])-MIN(ROW(RawData[Mobile])),0,1)),_xlpm.z,SUMPRODUCT(_xlpm.v,--(RawData[Project Name]=AF10)),IF(_xlpm.z=0,NA(),SUMPRODUCT(_xlpm.v,--(RawData[Project Name]=AF10),RawData[Error Flag]))))</f>
        <v>#N/A</v>
      </c>
    </row>
    <row r="11" spans="1:36" ht="110.25" x14ac:dyDescent="0.25">
      <c r="A11" t="s">
        <v>37</v>
      </c>
      <c r="B11" s="1">
        <v>8073016841</v>
      </c>
      <c r="C11" t="s">
        <v>19</v>
      </c>
      <c r="D11" s="2">
        <v>46253</v>
      </c>
      <c r="E11" t="s">
        <v>43</v>
      </c>
      <c r="F11" t="s">
        <v>44</v>
      </c>
      <c r="G11" s="3">
        <v>46256.584722222222</v>
      </c>
      <c r="H11" t="s">
        <v>22</v>
      </c>
      <c r="I11" s="4">
        <v>-1</v>
      </c>
      <c r="J11" t="s">
        <v>23</v>
      </c>
      <c r="K11" t="s">
        <v>29</v>
      </c>
      <c r="L11" t="s">
        <v>45</v>
      </c>
      <c r="M11" t="s">
        <v>38</v>
      </c>
      <c r="N11" t="s">
        <v>39</v>
      </c>
      <c r="O11">
        <v>1</v>
      </c>
      <c r="P11"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1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1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11" t="str">
        <f ca="1">IF(RawData[[#This Row],[Error Flag]]=0,"",IF(OR(ISNUMBER(SEARCH("Wrong Lead Status",RawData[[#This Row],[Error Type]])),ISNUMBER(SEARCH("RNR Classification Error",RawData[[#This Row],[Error Type]])),ISNUMBER(SEARCH("Follow-up Error",RawData[[#This Row],[Error Type]]))),"Critical","Medium"))</f>
        <v>Medium</v>
      </c>
      <c r="T11" t="str">
        <f ca="1">IF(RawData[[#This Row],[Error Flag]]=0,"Pass","Action Required ("&amp;RawData[[#This Row],[Error Flag]]&amp;IF(RawData[[#This Row],[Error Flag]]=1," error)"," errors)"))</f>
        <v>Action Required (1 error)</v>
      </c>
      <c r="U11"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1" t="str">
        <f ca="1">'Telecaller Performance'!A15</f>
        <v/>
      </c>
      <c r="X11" s="8" t="e" cm="1">
        <f t="array" aca="1" ref="X11" ca="1">IF(W11="",NA(),_xlfn.LET(_xlpm.v,SUBTOTAL(103,OFFSET(RawData[Mobile],ROW(RawData[Mobile])-MIN(ROW(RawData[Mobile])),0,1)),_xlpm.z,SUMPRODUCT(_xlpm.v,--(RawData[Telecaller Name]=W11)),IF(_xlpm.z=0,NA(),MAX(0,1-SUMPRODUCT(_xlpm.v,--(RawData[Telecaller Name]=W11),RawData[Error Flag])/_xlpm.z))))</f>
        <v>#N/A</v>
      </c>
      <c r="Z11" t="str">
        <f ca="1">'Telecaller Performance'!A15</f>
        <v/>
      </c>
      <c r="AA11" t="e" cm="1">
        <f t="array" aca="1" ref="AA11" ca="1">IF(Z11="",NA(),_xlfn.LET(_xlpm.v,SUBTOTAL(103,OFFSET(RawData[Mobile],ROW(RawData[Mobile])-MIN(ROW(RawData[Mobile])),0,1)),_xlpm.z,SUMPRODUCT(_xlpm.v,--(RawData[Telecaller Name]=Z11)),IF(_xlpm.z=0,NA(),SUMPRODUCT(_xlpm.v,--(RawData[Telecaller Name]=Z11),RawData[Error Flag]))))</f>
        <v>#N/A</v>
      </c>
      <c r="AF11" t="str" cm="1">
        <f t="array" ref="AF11">IFERROR(INDEX(_xlfn._xlws.SORT(_xlfn.UNIQUE(_xlfn._xlws.FILTER(RawData[Project Name],RawData[Project Name]&lt;&gt;""))),ROWS(AF$2:AF11)),"")</f>
        <v/>
      </c>
      <c r="AG11" t="e" cm="1">
        <f t="array" aca="1" ref="AG11" ca="1">IF(AF11="",NA(),_xlfn.LET(_xlpm.v,SUBTOTAL(103,OFFSET(RawData[Mobile],ROW(RawData[Mobile])-MIN(ROW(RawData[Mobile])),0,1)),_xlpm.z,SUMPRODUCT(_xlpm.v,--(RawData[Project Name]=AF11)),IF(_xlpm.z=0,NA(),SUMPRODUCT(_xlpm.v,--(RawData[Project Name]=AF11),RawData[Error Flag]))))</f>
        <v>#N/A</v>
      </c>
    </row>
    <row r="12" spans="1:36" ht="60" customHeight="1" x14ac:dyDescent="0.25">
      <c r="A12" t="s">
        <v>37</v>
      </c>
      <c r="B12" s="1">
        <v>8123042533</v>
      </c>
      <c r="C12" t="s">
        <v>19</v>
      </c>
      <c r="D12" s="2">
        <v>46253</v>
      </c>
      <c r="E12" t="s">
        <v>46</v>
      </c>
      <c r="F12" t="s">
        <v>26</v>
      </c>
      <c r="G12" s="3">
        <v>46256.465277777781</v>
      </c>
      <c r="H12" t="s">
        <v>22</v>
      </c>
      <c r="I12" s="4">
        <v>-1</v>
      </c>
      <c r="J12" t="s">
        <v>23</v>
      </c>
      <c r="K12" t="s">
        <v>24</v>
      </c>
      <c r="L12" t="s">
        <v>47</v>
      </c>
      <c r="M12" t="s">
        <v>38</v>
      </c>
      <c r="N12" t="s">
        <v>39</v>
      </c>
      <c r="O12">
        <v>1</v>
      </c>
      <c r="P12"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RNR Classification Error | Customer Location Not Captured</v>
      </c>
      <c r="Q1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Contact outcome should remain RNR rather than Cold
Anekal is the project default; customer location was not captured</v>
      </c>
      <c r="R1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Change lead classification to RNR and retry contact
Contact the customer and record their actual location</v>
      </c>
      <c r="S12" t="str">
        <f ca="1">IF(RawData[[#This Row],[Error Flag]]=0,"",IF(OR(ISNUMBER(SEARCH("Wrong Lead Status",RawData[[#This Row],[Error Type]])),ISNUMBER(SEARCH("RNR Classification Error",RawData[[#This Row],[Error Type]])),ISNUMBER(SEARCH("Follow-up Error",RawData[[#This Row],[Error Type]]))),"Critical","Medium"))</f>
        <v>Critical</v>
      </c>
      <c r="T12" t="str">
        <f ca="1">IF(RawData[[#This Row],[Error Flag]]=0,"Pass","Action Required ("&amp;RawData[[#This Row],[Error Flag]]&amp;IF(RawData[[#This Row],[Error Flag]]=1," error)"," errors)"))</f>
        <v>Action Required (2 errors)</v>
      </c>
      <c r="U12"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2</v>
      </c>
      <c r="W12" t="str">
        <f ca="1">'Telecaller Performance'!A16</f>
        <v/>
      </c>
      <c r="X12" s="8" t="e" cm="1">
        <f t="array" aca="1" ref="X12" ca="1">IF(W12="",NA(),_xlfn.LET(_xlpm.v,SUBTOTAL(103,OFFSET(RawData[Mobile],ROW(RawData[Mobile])-MIN(ROW(RawData[Mobile])),0,1)),_xlpm.z,SUMPRODUCT(_xlpm.v,--(RawData[Telecaller Name]=W12)),IF(_xlpm.z=0,NA(),MAX(0,1-SUMPRODUCT(_xlpm.v,--(RawData[Telecaller Name]=W12),RawData[Error Flag])/_xlpm.z))))</f>
        <v>#N/A</v>
      </c>
      <c r="Z12" t="str">
        <f ca="1">'Telecaller Performance'!A16</f>
        <v/>
      </c>
      <c r="AA12" t="e" cm="1">
        <f t="array" aca="1" ref="AA12" ca="1">IF(Z12="",NA(),_xlfn.LET(_xlpm.v,SUBTOTAL(103,OFFSET(RawData[Mobile],ROW(RawData[Mobile])-MIN(ROW(RawData[Mobile])),0,1)),_xlpm.z,SUMPRODUCT(_xlpm.v,--(RawData[Telecaller Name]=Z12)),IF(_xlpm.z=0,NA(),SUMPRODUCT(_xlpm.v,--(RawData[Telecaller Name]=Z12),RawData[Error Flag]))))</f>
        <v>#N/A</v>
      </c>
      <c r="AF12" t="str" cm="1">
        <f t="array" ref="AF12">IFERROR(INDEX(_xlfn._xlws.SORT(_xlfn.UNIQUE(_xlfn._xlws.FILTER(RawData[Project Name],RawData[Project Name]&lt;&gt;""))),ROWS(AF$2:AF12)),"")</f>
        <v/>
      </c>
      <c r="AG12" t="e" cm="1">
        <f t="array" aca="1" ref="AG12" ca="1">IF(AF12="",NA(),_xlfn.LET(_xlpm.v,SUBTOTAL(103,OFFSET(RawData[Mobile],ROW(RawData[Mobile])-MIN(ROW(RawData[Mobile])),0,1)),_xlpm.z,SUMPRODUCT(_xlpm.v,--(RawData[Project Name]=AF12)),IF(_xlpm.z=0,NA(),SUMPRODUCT(_xlpm.v,--(RawData[Project Name]=AF12),RawData[Error Flag]))))</f>
        <v>#N/A</v>
      </c>
    </row>
    <row r="13" spans="1:36" ht="110.25" x14ac:dyDescent="0.25">
      <c r="A13" t="s">
        <v>37</v>
      </c>
      <c r="B13" s="1">
        <v>8660592160</v>
      </c>
      <c r="C13" t="s">
        <v>19</v>
      </c>
      <c r="D13" s="2">
        <v>46253</v>
      </c>
      <c r="E13" t="s">
        <v>43</v>
      </c>
      <c r="F13" t="s">
        <v>48</v>
      </c>
      <c r="G13" s="3">
        <v>46256.675694444442</v>
      </c>
      <c r="H13" t="s">
        <v>22</v>
      </c>
      <c r="I13" s="4">
        <v>-1</v>
      </c>
      <c r="J13" t="s">
        <v>23</v>
      </c>
      <c r="K13" t="s">
        <v>29</v>
      </c>
      <c r="L13" t="s">
        <v>49</v>
      </c>
      <c r="M13" t="s">
        <v>35</v>
      </c>
      <c r="N13" t="s">
        <v>50</v>
      </c>
      <c r="O13">
        <v>1</v>
      </c>
      <c r="P13"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1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1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13" t="str">
        <f ca="1">IF(RawData[[#This Row],[Error Flag]]=0,"",IF(OR(ISNUMBER(SEARCH("Wrong Lead Status",RawData[[#This Row],[Error Type]])),ISNUMBER(SEARCH("RNR Classification Error",RawData[[#This Row],[Error Type]])),ISNUMBER(SEARCH("Follow-up Error",RawData[[#This Row],[Error Type]]))),"Critical","Medium"))</f>
        <v>Medium</v>
      </c>
      <c r="T13" t="str">
        <f ca="1">IF(RawData[[#This Row],[Error Flag]]=0,"Pass","Action Required ("&amp;RawData[[#This Row],[Error Flag]]&amp;IF(RawData[[#This Row],[Error Flag]]=1," error)"," errors)"))</f>
        <v>Action Required (1 error)</v>
      </c>
      <c r="U13"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3" t="str">
        <f ca="1">'Telecaller Performance'!A17</f>
        <v/>
      </c>
      <c r="X13" s="8" t="e" cm="1">
        <f t="array" aca="1" ref="X13" ca="1">IF(W13="",NA(),_xlfn.LET(_xlpm.v,SUBTOTAL(103,OFFSET(RawData[Mobile],ROW(RawData[Mobile])-MIN(ROW(RawData[Mobile])),0,1)),_xlpm.z,SUMPRODUCT(_xlpm.v,--(RawData[Telecaller Name]=W13)),IF(_xlpm.z=0,NA(),MAX(0,1-SUMPRODUCT(_xlpm.v,--(RawData[Telecaller Name]=W13),RawData[Error Flag])/_xlpm.z))))</f>
        <v>#N/A</v>
      </c>
      <c r="Z13" t="str">
        <f ca="1">'Telecaller Performance'!A17</f>
        <v/>
      </c>
      <c r="AA13" t="e" cm="1">
        <f t="array" aca="1" ref="AA13" ca="1">IF(Z13="",NA(),_xlfn.LET(_xlpm.v,SUBTOTAL(103,OFFSET(RawData[Mobile],ROW(RawData[Mobile])-MIN(ROW(RawData[Mobile])),0,1)),_xlpm.z,SUMPRODUCT(_xlpm.v,--(RawData[Telecaller Name]=Z13)),IF(_xlpm.z=0,NA(),SUMPRODUCT(_xlpm.v,--(RawData[Telecaller Name]=Z13),RawData[Error Flag]))))</f>
        <v>#N/A</v>
      </c>
      <c r="AF13" t="str" cm="1">
        <f t="array" ref="AF13">IFERROR(INDEX(_xlfn._xlws.SORT(_xlfn.UNIQUE(_xlfn._xlws.FILTER(RawData[Project Name],RawData[Project Name]&lt;&gt;""))),ROWS(AF$2:AF13)),"")</f>
        <v/>
      </c>
      <c r="AG13" t="e" cm="1">
        <f t="array" aca="1" ref="AG13" ca="1">IF(AF13="",NA(),_xlfn.LET(_xlpm.v,SUBTOTAL(103,OFFSET(RawData[Mobile],ROW(RawData[Mobile])-MIN(ROW(RawData[Mobile])),0,1)),_xlpm.z,SUMPRODUCT(_xlpm.v,--(RawData[Project Name]=AF13)),IF(_xlpm.z=0,NA(),SUMPRODUCT(_xlpm.v,--(RawData[Project Name]=AF13),RawData[Error Flag]))))</f>
        <v>#N/A</v>
      </c>
    </row>
    <row r="14" spans="1:36" ht="110.25" x14ac:dyDescent="0.25">
      <c r="A14" t="s">
        <v>37</v>
      </c>
      <c r="B14" s="1">
        <v>8870745937</v>
      </c>
      <c r="C14" t="s">
        <v>19</v>
      </c>
      <c r="D14" s="2">
        <v>46254</v>
      </c>
      <c r="E14" t="s">
        <v>20</v>
      </c>
      <c r="F14" t="s">
        <v>61</v>
      </c>
      <c r="G14" s="3">
        <v>46256.430555555555</v>
      </c>
      <c r="H14" t="s">
        <v>22</v>
      </c>
      <c r="I14" s="4">
        <v>-1</v>
      </c>
      <c r="J14" t="s">
        <v>23</v>
      </c>
      <c r="K14" t="s">
        <v>29</v>
      </c>
      <c r="L14" t="s">
        <v>62</v>
      </c>
      <c r="M14" t="s">
        <v>38</v>
      </c>
      <c r="N14" t="s">
        <v>39</v>
      </c>
      <c r="O14">
        <v>1</v>
      </c>
      <c r="P14"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1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1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14" t="str">
        <f ca="1">IF(RawData[[#This Row],[Error Flag]]=0,"",IF(OR(ISNUMBER(SEARCH("Wrong Lead Status",RawData[[#This Row],[Error Type]])),ISNUMBER(SEARCH("RNR Classification Error",RawData[[#This Row],[Error Type]])),ISNUMBER(SEARCH("Follow-up Error",RawData[[#This Row],[Error Type]]))),"Critical","Medium"))</f>
        <v>Medium</v>
      </c>
      <c r="T14" t="str">
        <f ca="1">IF(RawData[[#This Row],[Error Flag]]=0,"Pass","Action Required ("&amp;RawData[[#This Row],[Error Flag]]&amp;IF(RawData[[#This Row],[Error Flag]]=1," error)"," errors)"))</f>
        <v>Action Required (1 error)</v>
      </c>
      <c r="U14"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4" t="str">
        <f ca="1">'Telecaller Performance'!A18</f>
        <v/>
      </c>
      <c r="X14" s="8" t="e" cm="1">
        <f t="array" aca="1" ref="X14" ca="1">IF(W14="",NA(),_xlfn.LET(_xlpm.v,SUBTOTAL(103,OFFSET(RawData[Mobile],ROW(RawData[Mobile])-MIN(ROW(RawData[Mobile])),0,1)),_xlpm.z,SUMPRODUCT(_xlpm.v,--(RawData[Telecaller Name]=W14)),IF(_xlpm.z=0,NA(),MAX(0,1-SUMPRODUCT(_xlpm.v,--(RawData[Telecaller Name]=W14),RawData[Error Flag])/_xlpm.z))))</f>
        <v>#N/A</v>
      </c>
      <c r="Z14" t="str">
        <f ca="1">'Telecaller Performance'!A18</f>
        <v/>
      </c>
      <c r="AA14" t="e" cm="1">
        <f t="array" aca="1" ref="AA14" ca="1">IF(Z14="",NA(),_xlfn.LET(_xlpm.v,SUBTOTAL(103,OFFSET(RawData[Mobile],ROW(RawData[Mobile])-MIN(ROW(RawData[Mobile])),0,1)),_xlpm.z,SUMPRODUCT(_xlpm.v,--(RawData[Telecaller Name]=Z14)),IF(_xlpm.z=0,NA(),SUMPRODUCT(_xlpm.v,--(RawData[Telecaller Name]=Z14),RawData[Error Flag]))))</f>
        <v>#N/A</v>
      </c>
      <c r="AF14" t="str" cm="1">
        <f t="array" ref="AF14">IFERROR(INDEX(_xlfn._xlws.SORT(_xlfn.UNIQUE(_xlfn._xlws.FILTER(RawData[Project Name],RawData[Project Name]&lt;&gt;""))),ROWS(AF$2:AF14)),"")</f>
        <v/>
      </c>
      <c r="AG14" t="e" cm="1">
        <f t="array" aca="1" ref="AG14" ca="1">IF(AF14="",NA(),_xlfn.LET(_xlpm.v,SUBTOTAL(103,OFFSET(RawData[Mobile],ROW(RawData[Mobile])-MIN(ROW(RawData[Mobile])),0,1)),_xlpm.z,SUMPRODUCT(_xlpm.v,--(RawData[Project Name]=AF14)),IF(_xlpm.z=0,NA(),SUMPRODUCT(_xlpm.v,--(RawData[Project Name]=AF14),RawData[Error Flag]))))</f>
        <v>#N/A</v>
      </c>
    </row>
    <row r="15" spans="1:36" x14ac:dyDescent="0.25">
      <c r="A15" t="s">
        <v>37</v>
      </c>
      <c r="B15" s="1">
        <v>9113651947</v>
      </c>
      <c r="C15" t="s">
        <v>19</v>
      </c>
      <c r="D15" s="2">
        <v>46254</v>
      </c>
      <c r="E15" t="s">
        <v>20</v>
      </c>
      <c r="F15" t="s">
        <v>26</v>
      </c>
      <c r="G15" s="3">
        <v>46256.470138888886</v>
      </c>
      <c r="I15" s="4">
        <v>-1</v>
      </c>
      <c r="J15" t="s">
        <v>23</v>
      </c>
      <c r="K15" t="s">
        <v>24</v>
      </c>
      <c r="L15" t="s">
        <v>27</v>
      </c>
      <c r="M15" t="s">
        <v>15</v>
      </c>
      <c r="N15" t="s">
        <v>63</v>
      </c>
      <c r="O15">
        <v>1</v>
      </c>
      <c r="P15"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1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1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15" t="str">
        <f ca="1">IF(RawData[[#This Row],[Error Flag]]=0,"",IF(OR(ISNUMBER(SEARCH("Wrong Lead Status",RawData[[#This Row],[Error Type]])),ISNUMBER(SEARCH("RNR Classification Error",RawData[[#This Row],[Error Type]])),ISNUMBER(SEARCH("Follow-up Error",RawData[[#This Row],[Error Type]]))),"Critical","Medium"))</f>
        <v/>
      </c>
      <c r="T15" t="str">
        <f ca="1">IF(RawData[[#This Row],[Error Flag]]=0,"Pass","Action Required ("&amp;RawData[[#This Row],[Error Flag]]&amp;IF(RawData[[#This Row],[Error Flag]]=1," error)"," errors)"))</f>
        <v>Pass</v>
      </c>
      <c r="U15"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15" t="str">
        <f ca="1">'Telecaller Performance'!A19</f>
        <v/>
      </c>
      <c r="X15" s="8" t="e" cm="1">
        <f t="array" aca="1" ref="X15" ca="1">IF(W15="",NA(),_xlfn.LET(_xlpm.v,SUBTOTAL(103,OFFSET(RawData[Mobile],ROW(RawData[Mobile])-MIN(ROW(RawData[Mobile])),0,1)),_xlpm.z,SUMPRODUCT(_xlpm.v,--(RawData[Telecaller Name]=W15)),IF(_xlpm.z=0,NA(),MAX(0,1-SUMPRODUCT(_xlpm.v,--(RawData[Telecaller Name]=W15),RawData[Error Flag])/_xlpm.z))))</f>
        <v>#N/A</v>
      </c>
      <c r="Z15" t="str">
        <f ca="1">'Telecaller Performance'!A19</f>
        <v/>
      </c>
      <c r="AA15" t="e" cm="1">
        <f t="array" aca="1" ref="AA15" ca="1">IF(Z15="",NA(),_xlfn.LET(_xlpm.v,SUBTOTAL(103,OFFSET(RawData[Mobile],ROW(RawData[Mobile])-MIN(ROW(RawData[Mobile])),0,1)),_xlpm.z,SUMPRODUCT(_xlpm.v,--(RawData[Telecaller Name]=Z15)),IF(_xlpm.z=0,NA(),SUMPRODUCT(_xlpm.v,--(RawData[Telecaller Name]=Z15),RawData[Error Flag]))))</f>
        <v>#N/A</v>
      </c>
      <c r="AF15" t="str" cm="1">
        <f t="array" ref="AF15">IFERROR(INDEX(_xlfn._xlws.SORT(_xlfn.UNIQUE(_xlfn._xlws.FILTER(RawData[Project Name],RawData[Project Name]&lt;&gt;""))),ROWS(AF$2:AF15)),"")</f>
        <v/>
      </c>
      <c r="AG15" t="e" cm="1">
        <f t="array" aca="1" ref="AG15" ca="1">IF(AF15="",NA(),_xlfn.LET(_xlpm.v,SUBTOTAL(103,OFFSET(RawData[Mobile],ROW(RawData[Mobile])-MIN(ROW(RawData[Mobile])),0,1)),_xlpm.z,SUMPRODUCT(_xlpm.v,--(RawData[Project Name]=AF15)),IF(_xlpm.z=0,NA(),SUMPRODUCT(_xlpm.v,--(RawData[Project Name]=AF15),RawData[Error Flag]))))</f>
        <v>#N/A</v>
      </c>
    </row>
    <row r="16" spans="1:36" ht="110.25" x14ac:dyDescent="0.25">
      <c r="A16" t="s">
        <v>37</v>
      </c>
      <c r="B16" s="1">
        <v>9380015711</v>
      </c>
      <c r="C16" t="s">
        <v>19</v>
      </c>
      <c r="D16" s="2">
        <v>46253</v>
      </c>
      <c r="E16" t="s">
        <v>20</v>
      </c>
      <c r="F16" t="s">
        <v>51</v>
      </c>
      <c r="G16" s="3">
        <v>46256.497916666667</v>
      </c>
      <c r="H16" t="s">
        <v>22</v>
      </c>
      <c r="I16" s="4">
        <v>-1</v>
      </c>
      <c r="J16" t="s">
        <v>23</v>
      </c>
      <c r="K16" t="s">
        <v>24</v>
      </c>
      <c r="L16" t="s">
        <v>52</v>
      </c>
      <c r="M16" t="s">
        <v>38</v>
      </c>
      <c r="N16" t="s">
        <v>39</v>
      </c>
      <c r="O16">
        <v>1</v>
      </c>
      <c r="P16"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1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1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16" t="str">
        <f ca="1">IF(RawData[[#This Row],[Error Flag]]=0,"",IF(OR(ISNUMBER(SEARCH("Wrong Lead Status",RawData[[#This Row],[Error Type]])),ISNUMBER(SEARCH("RNR Classification Error",RawData[[#This Row],[Error Type]])),ISNUMBER(SEARCH("Follow-up Error",RawData[[#This Row],[Error Type]]))),"Critical","Medium"))</f>
        <v>Medium</v>
      </c>
      <c r="T16" t="str">
        <f ca="1">IF(RawData[[#This Row],[Error Flag]]=0,"Pass","Action Required ("&amp;RawData[[#This Row],[Error Flag]]&amp;IF(RawData[[#This Row],[Error Flag]]=1," error)"," errors)"))</f>
        <v>Action Required (1 error)</v>
      </c>
      <c r="U16"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6" t="str">
        <f ca="1">'Telecaller Performance'!A20</f>
        <v/>
      </c>
      <c r="X16" s="8" t="e" cm="1">
        <f t="array" aca="1" ref="X16" ca="1">IF(W16="",NA(),_xlfn.LET(_xlpm.v,SUBTOTAL(103,OFFSET(RawData[Mobile],ROW(RawData[Mobile])-MIN(ROW(RawData[Mobile])),0,1)),_xlpm.z,SUMPRODUCT(_xlpm.v,--(RawData[Telecaller Name]=W16)),IF(_xlpm.z=0,NA(),MAX(0,1-SUMPRODUCT(_xlpm.v,--(RawData[Telecaller Name]=W16),RawData[Error Flag])/_xlpm.z))))</f>
        <v>#N/A</v>
      </c>
      <c r="Z16" t="str">
        <f ca="1">'Telecaller Performance'!A20</f>
        <v/>
      </c>
      <c r="AA16" t="e" cm="1">
        <f t="array" aca="1" ref="AA16" ca="1">IF(Z16="",NA(),_xlfn.LET(_xlpm.v,SUBTOTAL(103,OFFSET(RawData[Mobile],ROW(RawData[Mobile])-MIN(ROW(RawData[Mobile])),0,1)),_xlpm.z,SUMPRODUCT(_xlpm.v,--(RawData[Telecaller Name]=Z16)),IF(_xlpm.z=0,NA(),SUMPRODUCT(_xlpm.v,--(RawData[Telecaller Name]=Z16),RawData[Error Flag]))))</f>
        <v>#N/A</v>
      </c>
      <c r="AF16" t="str" cm="1">
        <f t="array" ref="AF16">IFERROR(INDEX(_xlfn._xlws.SORT(_xlfn.UNIQUE(_xlfn._xlws.FILTER(RawData[Project Name],RawData[Project Name]&lt;&gt;""))),ROWS(AF$2:AF16)),"")</f>
        <v/>
      </c>
      <c r="AG16" t="e" cm="1">
        <f t="array" aca="1" ref="AG16" ca="1">IF(AF16="",NA(),_xlfn.LET(_xlpm.v,SUBTOTAL(103,OFFSET(RawData[Mobile],ROW(RawData[Mobile])-MIN(ROW(RawData[Mobile])),0,1)),_xlpm.z,SUMPRODUCT(_xlpm.v,--(RawData[Project Name]=AF16)),IF(_xlpm.z=0,NA(),SUMPRODUCT(_xlpm.v,--(RawData[Project Name]=AF16),RawData[Error Flag]))))</f>
        <v>#N/A</v>
      </c>
    </row>
    <row r="17" spans="1:33" ht="94.5" x14ac:dyDescent="0.25">
      <c r="A17" t="s">
        <v>37</v>
      </c>
      <c r="B17" s="1">
        <v>9425152540</v>
      </c>
      <c r="C17" t="s">
        <v>19</v>
      </c>
      <c r="D17" s="2">
        <v>46253</v>
      </c>
      <c r="E17" t="s">
        <v>46</v>
      </c>
      <c r="F17" t="s">
        <v>26</v>
      </c>
      <c r="G17" s="3">
        <v>46256.449305555558</v>
      </c>
      <c r="I17" s="4">
        <v>-1</v>
      </c>
      <c r="J17" t="s">
        <v>23</v>
      </c>
      <c r="K17" t="s">
        <v>24</v>
      </c>
      <c r="L17" t="s">
        <v>27</v>
      </c>
      <c r="M17" t="s">
        <v>15</v>
      </c>
      <c r="N17" t="s">
        <v>18</v>
      </c>
      <c r="O17">
        <v>1</v>
      </c>
      <c r="P17"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RNR Classification Error</v>
      </c>
      <c r="Q1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Contact outcome should remain RNR rather than Cold</v>
      </c>
      <c r="R1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Change lead classification to RNR and retry contact</v>
      </c>
      <c r="S17" t="str">
        <f ca="1">IF(RawData[[#This Row],[Error Flag]]=0,"",IF(OR(ISNUMBER(SEARCH("Wrong Lead Status",RawData[[#This Row],[Error Type]])),ISNUMBER(SEARCH("RNR Classification Error",RawData[[#This Row],[Error Type]])),ISNUMBER(SEARCH("Follow-up Error",RawData[[#This Row],[Error Type]]))),"Critical","Medium"))</f>
        <v>Critical</v>
      </c>
      <c r="T17" t="str">
        <f ca="1">IF(RawData[[#This Row],[Error Flag]]=0,"Pass","Action Required ("&amp;RawData[[#This Row],[Error Flag]]&amp;IF(RawData[[#This Row],[Error Flag]]=1," error)"," errors)"))</f>
        <v>Action Required (1 error)</v>
      </c>
      <c r="U17"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7" t="str">
        <f ca="1">'Telecaller Performance'!A21</f>
        <v/>
      </c>
      <c r="X17" s="8" t="e" cm="1">
        <f t="array" aca="1" ref="X17" ca="1">IF(W17="",NA(),_xlfn.LET(_xlpm.v,SUBTOTAL(103,OFFSET(RawData[Mobile],ROW(RawData[Mobile])-MIN(ROW(RawData[Mobile])),0,1)),_xlpm.z,SUMPRODUCT(_xlpm.v,--(RawData[Telecaller Name]=W17)),IF(_xlpm.z=0,NA(),MAX(0,1-SUMPRODUCT(_xlpm.v,--(RawData[Telecaller Name]=W17),RawData[Error Flag])/_xlpm.z))))</f>
        <v>#N/A</v>
      </c>
      <c r="Z17" t="str">
        <f ca="1">'Telecaller Performance'!A21</f>
        <v/>
      </c>
      <c r="AA17" t="e" cm="1">
        <f t="array" aca="1" ref="AA17" ca="1">IF(Z17="",NA(),_xlfn.LET(_xlpm.v,SUBTOTAL(103,OFFSET(RawData[Mobile],ROW(RawData[Mobile])-MIN(ROW(RawData[Mobile])),0,1)),_xlpm.z,SUMPRODUCT(_xlpm.v,--(RawData[Telecaller Name]=Z17)),IF(_xlpm.z=0,NA(),SUMPRODUCT(_xlpm.v,--(RawData[Telecaller Name]=Z17),RawData[Error Flag]))))</f>
        <v>#N/A</v>
      </c>
      <c r="AF17" t="str" cm="1">
        <f t="array" ref="AF17">IFERROR(INDEX(_xlfn._xlws.SORT(_xlfn.UNIQUE(_xlfn._xlws.FILTER(RawData[Project Name],RawData[Project Name]&lt;&gt;""))),ROWS(AF$2:AF17)),"")</f>
        <v/>
      </c>
      <c r="AG17" t="e" cm="1">
        <f t="array" aca="1" ref="AG17" ca="1">IF(AF17="",NA(),_xlfn.LET(_xlpm.v,SUBTOTAL(103,OFFSET(RawData[Mobile],ROW(RawData[Mobile])-MIN(ROW(RawData[Mobile])),0,1)),_xlpm.z,SUMPRODUCT(_xlpm.v,--(RawData[Project Name]=AF17)),IF(_xlpm.z=0,NA(),SUMPRODUCT(_xlpm.v,--(RawData[Project Name]=AF17),RawData[Error Flag]))))</f>
        <v>#N/A</v>
      </c>
    </row>
    <row r="18" spans="1:33" ht="110.25" x14ac:dyDescent="0.25">
      <c r="A18" t="s">
        <v>37</v>
      </c>
      <c r="B18" s="1">
        <v>9482097564</v>
      </c>
      <c r="C18" t="s">
        <v>19</v>
      </c>
      <c r="D18" s="2">
        <v>46253</v>
      </c>
      <c r="E18" t="s">
        <v>20</v>
      </c>
      <c r="F18" t="s">
        <v>53</v>
      </c>
      <c r="G18" s="3">
        <v>46256.445833333331</v>
      </c>
      <c r="H18" t="s">
        <v>22</v>
      </c>
      <c r="I18" s="4">
        <v>-1</v>
      </c>
      <c r="J18" t="s">
        <v>23</v>
      </c>
      <c r="K18" t="s">
        <v>24</v>
      </c>
      <c r="L18" t="s">
        <v>27</v>
      </c>
      <c r="M18" t="s">
        <v>38</v>
      </c>
      <c r="N18" t="s">
        <v>39</v>
      </c>
      <c r="O18">
        <v>1</v>
      </c>
      <c r="P18"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1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1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18" t="str">
        <f ca="1">IF(RawData[[#This Row],[Error Flag]]=0,"",IF(OR(ISNUMBER(SEARCH("Wrong Lead Status",RawData[[#This Row],[Error Type]])),ISNUMBER(SEARCH("RNR Classification Error",RawData[[#This Row],[Error Type]])),ISNUMBER(SEARCH("Follow-up Error",RawData[[#This Row],[Error Type]]))),"Critical","Medium"))</f>
        <v>Medium</v>
      </c>
      <c r="T18" t="str">
        <f ca="1">IF(RawData[[#This Row],[Error Flag]]=0,"Pass","Action Required ("&amp;RawData[[#This Row],[Error Flag]]&amp;IF(RawData[[#This Row],[Error Flag]]=1," error)"," errors)"))</f>
        <v>Action Required (1 error)</v>
      </c>
      <c r="U18"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18" t="str">
        <f ca="1">'Telecaller Performance'!A22</f>
        <v/>
      </c>
      <c r="X18" s="8" t="e" cm="1">
        <f t="array" aca="1" ref="X18" ca="1">IF(W18="",NA(),_xlfn.LET(_xlpm.v,SUBTOTAL(103,OFFSET(RawData[Mobile],ROW(RawData[Mobile])-MIN(ROW(RawData[Mobile])),0,1)),_xlpm.z,SUMPRODUCT(_xlpm.v,--(RawData[Telecaller Name]=W18)),IF(_xlpm.z=0,NA(),MAX(0,1-SUMPRODUCT(_xlpm.v,--(RawData[Telecaller Name]=W18),RawData[Error Flag])/_xlpm.z))))</f>
        <v>#N/A</v>
      </c>
      <c r="Z18" t="str">
        <f ca="1">'Telecaller Performance'!A22</f>
        <v/>
      </c>
      <c r="AA18" t="e" cm="1">
        <f t="array" aca="1" ref="AA18" ca="1">IF(Z18="",NA(),_xlfn.LET(_xlpm.v,SUBTOTAL(103,OFFSET(RawData[Mobile],ROW(RawData[Mobile])-MIN(ROW(RawData[Mobile])),0,1)),_xlpm.z,SUMPRODUCT(_xlpm.v,--(RawData[Telecaller Name]=Z18)),IF(_xlpm.z=0,NA(),SUMPRODUCT(_xlpm.v,--(RawData[Telecaller Name]=Z18),RawData[Error Flag]))))</f>
        <v>#N/A</v>
      </c>
      <c r="AF18" t="str" cm="1">
        <f t="array" ref="AF18">IFERROR(INDEX(_xlfn._xlws.SORT(_xlfn.UNIQUE(_xlfn._xlws.FILTER(RawData[Project Name],RawData[Project Name]&lt;&gt;""))),ROWS(AF$2:AF18)),"")</f>
        <v/>
      </c>
      <c r="AG18" t="e" cm="1">
        <f t="array" aca="1" ref="AG18" ca="1">IF(AF18="",NA(),_xlfn.LET(_xlpm.v,SUBTOTAL(103,OFFSET(RawData[Mobile],ROW(RawData[Mobile])-MIN(ROW(RawData[Mobile])),0,1)),_xlpm.z,SUMPRODUCT(_xlpm.v,--(RawData[Project Name]=AF18)),IF(_xlpm.z=0,NA(),SUMPRODUCT(_xlpm.v,--(RawData[Project Name]=AF18),RawData[Error Flag]))))</f>
        <v>#N/A</v>
      </c>
    </row>
    <row r="19" spans="1:33" x14ac:dyDescent="0.25">
      <c r="A19" t="s">
        <v>37</v>
      </c>
      <c r="B19" s="1">
        <v>9482159745</v>
      </c>
      <c r="C19" t="s">
        <v>19</v>
      </c>
      <c r="D19" s="2">
        <v>46253</v>
      </c>
      <c r="E19" t="s">
        <v>20</v>
      </c>
      <c r="F19" t="s">
        <v>54</v>
      </c>
      <c r="G19" s="3">
        <v>46256.452777777777</v>
      </c>
      <c r="I19" s="4">
        <v>-1</v>
      </c>
      <c r="J19" t="s">
        <v>23</v>
      </c>
      <c r="K19" t="s">
        <v>24</v>
      </c>
      <c r="L19" t="s">
        <v>27</v>
      </c>
      <c r="M19" t="s">
        <v>15</v>
      </c>
      <c r="N19" t="s">
        <v>18</v>
      </c>
      <c r="O19">
        <v>1</v>
      </c>
      <c r="P19"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1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1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19" t="str">
        <f ca="1">IF(RawData[[#This Row],[Error Flag]]=0,"",IF(OR(ISNUMBER(SEARCH("Wrong Lead Status",RawData[[#This Row],[Error Type]])),ISNUMBER(SEARCH("RNR Classification Error",RawData[[#This Row],[Error Type]])),ISNUMBER(SEARCH("Follow-up Error",RawData[[#This Row],[Error Type]]))),"Critical","Medium"))</f>
        <v/>
      </c>
      <c r="T19" t="str">
        <f ca="1">IF(RawData[[#This Row],[Error Flag]]=0,"Pass","Action Required ("&amp;RawData[[#This Row],[Error Flag]]&amp;IF(RawData[[#This Row],[Error Flag]]=1," error)"," errors)"))</f>
        <v>Pass</v>
      </c>
      <c r="U19"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19" t="str">
        <f ca="1">'Telecaller Performance'!A23</f>
        <v/>
      </c>
      <c r="X19" s="8" t="e" cm="1">
        <f t="array" aca="1" ref="X19" ca="1">IF(W19="",NA(),_xlfn.LET(_xlpm.v,SUBTOTAL(103,OFFSET(RawData[Mobile],ROW(RawData[Mobile])-MIN(ROW(RawData[Mobile])),0,1)),_xlpm.z,SUMPRODUCT(_xlpm.v,--(RawData[Telecaller Name]=W19)),IF(_xlpm.z=0,NA(),MAX(0,1-SUMPRODUCT(_xlpm.v,--(RawData[Telecaller Name]=W19),RawData[Error Flag])/_xlpm.z))))</f>
        <v>#N/A</v>
      </c>
      <c r="Z19" t="str">
        <f ca="1">'Telecaller Performance'!A23</f>
        <v/>
      </c>
      <c r="AA19" t="e" cm="1">
        <f t="array" aca="1" ref="AA19" ca="1">IF(Z19="",NA(),_xlfn.LET(_xlpm.v,SUBTOTAL(103,OFFSET(RawData[Mobile],ROW(RawData[Mobile])-MIN(ROW(RawData[Mobile])),0,1)),_xlpm.z,SUMPRODUCT(_xlpm.v,--(RawData[Telecaller Name]=Z19)),IF(_xlpm.z=0,NA(),SUMPRODUCT(_xlpm.v,--(RawData[Telecaller Name]=Z19),RawData[Error Flag]))))</f>
        <v>#N/A</v>
      </c>
      <c r="AF19" t="str" cm="1">
        <f t="array" ref="AF19">IFERROR(INDEX(_xlfn._xlws.SORT(_xlfn.UNIQUE(_xlfn._xlws.FILTER(RawData[Project Name],RawData[Project Name]&lt;&gt;""))),ROWS(AF$2:AF19)),"")</f>
        <v/>
      </c>
      <c r="AG19" t="e" cm="1">
        <f t="array" aca="1" ref="AG19" ca="1">IF(AF19="",NA(),_xlfn.LET(_xlpm.v,SUBTOTAL(103,OFFSET(RawData[Mobile],ROW(RawData[Mobile])-MIN(ROW(RawData[Mobile])),0,1)),_xlpm.z,SUMPRODUCT(_xlpm.v,--(RawData[Project Name]=AF19)),IF(_xlpm.z=0,NA(),SUMPRODUCT(_xlpm.v,--(RawData[Project Name]=AF19),RawData[Error Flag]))))</f>
        <v>#N/A</v>
      </c>
    </row>
    <row r="20" spans="1:33" ht="60" customHeight="1" x14ac:dyDescent="0.25">
      <c r="A20" t="s">
        <v>37</v>
      </c>
      <c r="B20" s="1">
        <v>9482915868</v>
      </c>
      <c r="C20" t="s">
        <v>19</v>
      </c>
      <c r="D20" s="2">
        <v>46253</v>
      </c>
      <c r="E20" t="s">
        <v>46</v>
      </c>
      <c r="F20" t="s">
        <v>26</v>
      </c>
      <c r="G20" s="3">
        <v>46256.454861111109</v>
      </c>
      <c r="H20" t="s">
        <v>22</v>
      </c>
      <c r="I20" s="4">
        <v>-1</v>
      </c>
      <c r="J20" t="s">
        <v>23</v>
      </c>
      <c r="K20" t="s">
        <v>24</v>
      </c>
      <c r="L20" t="s">
        <v>27</v>
      </c>
      <c r="M20" t="s">
        <v>38</v>
      </c>
      <c r="N20" t="s">
        <v>39</v>
      </c>
      <c r="O20">
        <v>1</v>
      </c>
      <c r="P20"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RNR Classification Error | Customer Location Not Captured</v>
      </c>
      <c r="Q2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Contact outcome should remain RNR rather than Cold
Anekal is the project default; customer location was not captured</v>
      </c>
      <c r="R2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Change lead classification to RNR and retry contact
Contact the customer and record their actual location</v>
      </c>
      <c r="S20" t="str">
        <f ca="1">IF(RawData[[#This Row],[Error Flag]]=0,"",IF(OR(ISNUMBER(SEARCH("Wrong Lead Status",RawData[[#This Row],[Error Type]])),ISNUMBER(SEARCH("RNR Classification Error",RawData[[#This Row],[Error Type]])),ISNUMBER(SEARCH("Follow-up Error",RawData[[#This Row],[Error Type]]))),"Critical","Medium"))</f>
        <v>Critical</v>
      </c>
      <c r="T20" t="str">
        <f ca="1">IF(RawData[[#This Row],[Error Flag]]=0,"Pass","Action Required ("&amp;RawData[[#This Row],[Error Flag]]&amp;IF(RawData[[#This Row],[Error Flag]]=1," error)"," errors)"))</f>
        <v>Action Required (2 errors)</v>
      </c>
      <c r="U20"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2</v>
      </c>
      <c r="W20" t="str">
        <f ca="1">'Telecaller Performance'!A24</f>
        <v/>
      </c>
      <c r="X20" s="8" t="e" cm="1">
        <f t="array" aca="1" ref="X20" ca="1">IF(W20="",NA(),_xlfn.LET(_xlpm.v,SUBTOTAL(103,OFFSET(RawData[Mobile],ROW(RawData[Mobile])-MIN(ROW(RawData[Mobile])),0,1)),_xlpm.z,SUMPRODUCT(_xlpm.v,--(RawData[Telecaller Name]=W20)),IF(_xlpm.z=0,NA(),MAX(0,1-SUMPRODUCT(_xlpm.v,--(RawData[Telecaller Name]=W20),RawData[Error Flag])/_xlpm.z))))</f>
        <v>#N/A</v>
      </c>
      <c r="Z20" t="str">
        <f ca="1">'Telecaller Performance'!A24</f>
        <v/>
      </c>
      <c r="AA20" t="e" cm="1">
        <f t="array" aca="1" ref="AA20" ca="1">IF(Z20="",NA(),_xlfn.LET(_xlpm.v,SUBTOTAL(103,OFFSET(RawData[Mobile],ROW(RawData[Mobile])-MIN(ROW(RawData[Mobile])),0,1)),_xlpm.z,SUMPRODUCT(_xlpm.v,--(RawData[Telecaller Name]=Z20)),IF(_xlpm.z=0,NA(),SUMPRODUCT(_xlpm.v,--(RawData[Telecaller Name]=Z20),RawData[Error Flag]))))</f>
        <v>#N/A</v>
      </c>
      <c r="AF20" t="str" cm="1">
        <f t="array" ref="AF20">IFERROR(INDEX(_xlfn._xlws.SORT(_xlfn.UNIQUE(_xlfn._xlws.FILTER(RawData[Project Name],RawData[Project Name]&lt;&gt;""))),ROWS(AF$2:AF20)),"")</f>
        <v/>
      </c>
      <c r="AG20" t="e" cm="1">
        <f t="array" aca="1" ref="AG20" ca="1">IF(AF20="",NA(),_xlfn.LET(_xlpm.v,SUBTOTAL(103,OFFSET(RawData[Mobile],ROW(RawData[Mobile])-MIN(ROW(RawData[Mobile])),0,1)),_xlpm.z,SUMPRODUCT(_xlpm.v,--(RawData[Project Name]=AF20)),IF(_xlpm.z=0,NA(),SUMPRODUCT(_xlpm.v,--(RawData[Project Name]=AF20),RawData[Error Flag]))))</f>
        <v>#N/A</v>
      </c>
    </row>
    <row r="21" spans="1:33" x14ac:dyDescent="0.25">
      <c r="A21" t="s">
        <v>37</v>
      </c>
      <c r="B21" s="1">
        <v>9513809427</v>
      </c>
      <c r="C21" t="s">
        <v>19</v>
      </c>
      <c r="D21" s="2">
        <v>46253</v>
      </c>
      <c r="E21" t="s">
        <v>20</v>
      </c>
      <c r="F21" t="s">
        <v>26</v>
      </c>
      <c r="G21" s="3">
        <v>46256.493750000001</v>
      </c>
      <c r="I21" s="4">
        <v>-1</v>
      </c>
      <c r="J21" t="s">
        <v>23</v>
      </c>
      <c r="K21" t="s">
        <v>24</v>
      </c>
      <c r="L21" t="s">
        <v>27</v>
      </c>
      <c r="M21" t="s">
        <v>15</v>
      </c>
      <c r="N21" t="s">
        <v>18</v>
      </c>
      <c r="O21">
        <v>1</v>
      </c>
      <c r="P21"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2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2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21" t="str">
        <f ca="1">IF(RawData[[#This Row],[Error Flag]]=0,"",IF(OR(ISNUMBER(SEARCH("Wrong Lead Status",RawData[[#This Row],[Error Type]])),ISNUMBER(SEARCH("RNR Classification Error",RawData[[#This Row],[Error Type]])),ISNUMBER(SEARCH("Follow-up Error",RawData[[#This Row],[Error Type]]))),"Critical","Medium"))</f>
        <v/>
      </c>
      <c r="T21" t="str">
        <f ca="1">IF(RawData[[#This Row],[Error Flag]]=0,"Pass","Action Required ("&amp;RawData[[#This Row],[Error Flag]]&amp;IF(RawData[[#This Row],[Error Flag]]=1," error)"," errors)"))</f>
        <v>Pass</v>
      </c>
      <c r="U21"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21" t="str">
        <f ca="1">'Telecaller Performance'!A25</f>
        <v/>
      </c>
      <c r="X21" s="8" t="e" cm="1">
        <f t="array" aca="1" ref="X21" ca="1">IF(W21="",NA(),_xlfn.LET(_xlpm.v,SUBTOTAL(103,OFFSET(RawData[Mobile],ROW(RawData[Mobile])-MIN(ROW(RawData[Mobile])),0,1)),_xlpm.z,SUMPRODUCT(_xlpm.v,--(RawData[Telecaller Name]=W21)),IF(_xlpm.z=0,NA(),MAX(0,1-SUMPRODUCT(_xlpm.v,--(RawData[Telecaller Name]=W21),RawData[Error Flag])/_xlpm.z))))</f>
        <v>#N/A</v>
      </c>
      <c r="Z21" t="str">
        <f ca="1">'Telecaller Performance'!A25</f>
        <v/>
      </c>
      <c r="AA21" t="e" cm="1">
        <f t="array" aca="1" ref="AA21" ca="1">IF(Z21="",NA(),_xlfn.LET(_xlpm.v,SUBTOTAL(103,OFFSET(RawData[Mobile],ROW(RawData[Mobile])-MIN(ROW(RawData[Mobile])),0,1)),_xlpm.z,SUMPRODUCT(_xlpm.v,--(RawData[Telecaller Name]=Z21)),IF(_xlpm.z=0,NA(),SUMPRODUCT(_xlpm.v,--(RawData[Telecaller Name]=Z21),RawData[Error Flag]))))</f>
        <v>#N/A</v>
      </c>
      <c r="AF21" t="str" cm="1">
        <f t="array" ref="AF21">IFERROR(INDEX(_xlfn._xlws.SORT(_xlfn.UNIQUE(_xlfn._xlws.FILTER(RawData[Project Name],RawData[Project Name]&lt;&gt;""))),ROWS(AF$2:AF21)),"")</f>
        <v/>
      </c>
      <c r="AG21" t="e" cm="1">
        <f t="array" aca="1" ref="AG21" ca="1">IF(AF21="",NA(),_xlfn.LET(_xlpm.v,SUBTOTAL(103,OFFSET(RawData[Mobile],ROW(RawData[Mobile])-MIN(ROW(RawData[Mobile])),0,1)),_xlpm.z,SUMPRODUCT(_xlpm.v,--(RawData[Project Name]=AF21)),IF(_xlpm.z=0,NA(),SUMPRODUCT(_xlpm.v,--(RawData[Project Name]=AF21),RawData[Error Flag]))))</f>
        <v>#N/A</v>
      </c>
    </row>
    <row r="22" spans="1:33" x14ac:dyDescent="0.25">
      <c r="A22" t="s">
        <v>37</v>
      </c>
      <c r="B22" s="1">
        <v>9538130876</v>
      </c>
      <c r="C22" t="s">
        <v>19</v>
      </c>
      <c r="D22" s="2">
        <v>46254</v>
      </c>
      <c r="E22" t="s">
        <v>20</v>
      </c>
      <c r="F22" t="s">
        <v>26</v>
      </c>
      <c r="G22" s="3">
        <v>46256.451388888891</v>
      </c>
      <c r="I22" s="4">
        <v>-1</v>
      </c>
      <c r="J22" t="s">
        <v>23</v>
      </c>
      <c r="K22" t="s">
        <v>24</v>
      </c>
      <c r="L22" t="s">
        <v>27</v>
      </c>
      <c r="M22" t="s">
        <v>15</v>
      </c>
      <c r="N22" t="s">
        <v>18</v>
      </c>
      <c r="O22">
        <v>1</v>
      </c>
      <c r="P22"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2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2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22" t="str">
        <f ca="1">IF(RawData[[#This Row],[Error Flag]]=0,"",IF(OR(ISNUMBER(SEARCH("Wrong Lead Status",RawData[[#This Row],[Error Type]])),ISNUMBER(SEARCH("RNR Classification Error",RawData[[#This Row],[Error Type]])),ISNUMBER(SEARCH("Follow-up Error",RawData[[#This Row],[Error Type]]))),"Critical","Medium"))</f>
        <v/>
      </c>
      <c r="T22" t="str">
        <f ca="1">IF(RawData[[#This Row],[Error Flag]]=0,"Pass","Action Required ("&amp;RawData[[#This Row],[Error Flag]]&amp;IF(RawData[[#This Row],[Error Flag]]=1," error)"," errors)"))</f>
        <v>Pass</v>
      </c>
      <c r="U22"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22" t="str">
        <f ca="1">'Telecaller Performance'!A26</f>
        <v/>
      </c>
      <c r="X22" s="8" t="e" cm="1">
        <f t="array" aca="1" ref="X22" ca="1">IF(W22="",NA(),_xlfn.LET(_xlpm.v,SUBTOTAL(103,OFFSET(RawData[Mobile],ROW(RawData[Mobile])-MIN(ROW(RawData[Mobile])),0,1)),_xlpm.z,SUMPRODUCT(_xlpm.v,--(RawData[Telecaller Name]=W22)),IF(_xlpm.z=0,NA(),MAX(0,1-SUMPRODUCT(_xlpm.v,--(RawData[Telecaller Name]=W22),RawData[Error Flag])/_xlpm.z))))</f>
        <v>#N/A</v>
      </c>
      <c r="Z22" t="str">
        <f ca="1">'Telecaller Performance'!A26</f>
        <v/>
      </c>
      <c r="AA22" t="e" cm="1">
        <f t="array" aca="1" ref="AA22" ca="1">IF(Z22="",NA(),_xlfn.LET(_xlpm.v,SUBTOTAL(103,OFFSET(RawData[Mobile],ROW(RawData[Mobile])-MIN(ROW(RawData[Mobile])),0,1)),_xlpm.z,SUMPRODUCT(_xlpm.v,--(RawData[Telecaller Name]=Z22)),IF(_xlpm.z=0,NA(),SUMPRODUCT(_xlpm.v,--(RawData[Telecaller Name]=Z22),RawData[Error Flag]))))</f>
        <v>#N/A</v>
      </c>
      <c r="AF22" t="str" cm="1">
        <f t="array" ref="AF22">IFERROR(INDEX(_xlfn._xlws.SORT(_xlfn.UNIQUE(_xlfn._xlws.FILTER(RawData[Project Name],RawData[Project Name]&lt;&gt;""))),ROWS(AF$2:AF22)),"")</f>
        <v/>
      </c>
      <c r="AG22" t="e" cm="1">
        <f t="array" aca="1" ref="AG22" ca="1">IF(AF22="",NA(),_xlfn.LET(_xlpm.v,SUBTOTAL(103,OFFSET(RawData[Mobile],ROW(RawData[Mobile])-MIN(ROW(RawData[Mobile])),0,1)),_xlpm.z,SUMPRODUCT(_xlpm.v,--(RawData[Project Name]=AF22)),IF(_xlpm.z=0,NA(),SUMPRODUCT(_xlpm.v,--(RawData[Project Name]=AF22),RawData[Error Flag]))))</f>
        <v>#N/A</v>
      </c>
    </row>
    <row r="23" spans="1:33" ht="110.25" x14ac:dyDescent="0.25">
      <c r="A23" t="s">
        <v>37</v>
      </c>
      <c r="B23" s="1">
        <v>9663972134</v>
      </c>
      <c r="C23" t="s">
        <v>19</v>
      </c>
      <c r="D23" s="2">
        <v>46253</v>
      </c>
      <c r="E23" t="s">
        <v>20</v>
      </c>
      <c r="F23" t="s">
        <v>55</v>
      </c>
      <c r="G23" s="3">
        <v>46256.45</v>
      </c>
      <c r="H23" t="s">
        <v>22</v>
      </c>
      <c r="I23" s="4">
        <v>-1</v>
      </c>
      <c r="J23" t="s">
        <v>23</v>
      </c>
      <c r="K23" t="s">
        <v>29</v>
      </c>
      <c r="L23" t="s">
        <v>56</v>
      </c>
      <c r="M23" t="s">
        <v>38</v>
      </c>
      <c r="N23" t="s">
        <v>39</v>
      </c>
      <c r="O23">
        <v>1</v>
      </c>
      <c r="P23"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2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2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23" t="str">
        <f ca="1">IF(RawData[[#This Row],[Error Flag]]=0,"",IF(OR(ISNUMBER(SEARCH("Wrong Lead Status",RawData[[#This Row],[Error Type]])),ISNUMBER(SEARCH("RNR Classification Error",RawData[[#This Row],[Error Type]])),ISNUMBER(SEARCH("Follow-up Error",RawData[[#This Row],[Error Type]]))),"Critical","Medium"))</f>
        <v>Medium</v>
      </c>
      <c r="T23" t="str">
        <f ca="1">IF(RawData[[#This Row],[Error Flag]]=0,"Pass","Action Required ("&amp;RawData[[#This Row],[Error Flag]]&amp;IF(RawData[[#This Row],[Error Flag]]=1," error)"," errors)"))</f>
        <v>Action Required (1 error)</v>
      </c>
      <c r="U23"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23" t="str">
        <f ca="1">'Telecaller Performance'!A27</f>
        <v/>
      </c>
      <c r="X23" s="8" t="e" cm="1">
        <f t="array" aca="1" ref="X23" ca="1">IF(W23="",NA(),_xlfn.LET(_xlpm.v,SUBTOTAL(103,OFFSET(RawData[Mobile],ROW(RawData[Mobile])-MIN(ROW(RawData[Mobile])),0,1)),_xlpm.z,SUMPRODUCT(_xlpm.v,--(RawData[Telecaller Name]=W23)),IF(_xlpm.z=0,NA(),MAX(0,1-SUMPRODUCT(_xlpm.v,--(RawData[Telecaller Name]=W23),RawData[Error Flag])/_xlpm.z))))</f>
        <v>#N/A</v>
      </c>
      <c r="Z23" t="str">
        <f ca="1">'Telecaller Performance'!A27</f>
        <v/>
      </c>
      <c r="AA23" t="e" cm="1">
        <f t="array" aca="1" ref="AA23" ca="1">IF(Z23="",NA(),_xlfn.LET(_xlpm.v,SUBTOTAL(103,OFFSET(RawData[Mobile],ROW(RawData[Mobile])-MIN(ROW(RawData[Mobile])),0,1)),_xlpm.z,SUMPRODUCT(_xlpm.v,--(RawData[Telecaller Name]=Z23)),IF(_xlpm.z=0,NA(),SUMPRODUCT(_xlpm.v,--(RawData[Telecaller Name]=Z23),RawData[Error Flag]))))</f>
        <v>#N/A</v>
      </c>
      <c r="AF23" t="str" cm="1">
        <f t="array" ref="AF23">IFERROR(INDEX(_xlfn._xlws.SORT(_xlfn.UNIQUE(_xlfn._xlws.FILTER(RawData[Project Name],RawData[Project Name]&lt;&gt;""))),ROWS(AF$2:AF23)),"")</f>
        <v/>
      </c>
      <c r="AG23" t="e" cm="1">
        <f t="array" aca="1" ref="AG23" ca="1">IF(AF23="",NA(),_xlfn.LET(_xlpm.v,SUBTOTAL(103,OFFSET(RawData[Mobile],ROW(RawData[Mobile])-MIN(ROW(RawData[Mobile])),0,1)),_xlpm.z,SUMPRODUCT(_xlpm.v,--(RawData[Project Name]=AF23)),IF(_xlpm.z=0,NA(),SUMPRODUCT(_xlpm.v,--(RawData[Project Name]=AF23),RawData[Error Flag]))))</f>
        <v>#N/A</v>
      </c>
    </row>
    <row r="24" spans="1:33" ht="60" customHeight="1" x14ac:dyDescent="0.25">
      <c r="A24" t="s">
        <v>37</v>
      </c>
      <c r="B24" s="1">
        <v>9731234263</v>
      </c>
      <c r="C24" t="s">
        <v>19</v>
      </c>
      <c r="D24" s="2">
        <v>46253</v>
      </c>
      <c r="E24" t="s">
        <v>20</v>
      </c>
      <c r="F24" t="s">
        <v>57</v>
      </c>
      <c r="G24" s="3">
        <v>46256.490277777775</v>
      </c>
      <c r="H24" t="s">
        <v>22</v>
      </c>
      <c r="I24" s="4">
        <v>-1</v>
      </c>
      <c r="J24" t="s">
        <v>23</v>
      </c>
      <c r="K24" t="s">
        <v>24</v>
      </c>
      <c r="L24" t="s">
        <v>58</v>
      </c>
      <c r="M24" t="s">
        <v>38</v>
      </c>
      <c r="N24" t="s">
        <v>39</v>
      </c>
      <c r="O24">
        <v>1</v>
      </c>
      <c r="P24"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Warm Status Mismatch | Customer Location Not Captured</v>
      </c>
      <c r="Q2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Contact-only outcome does not support Warm status
Anekal is the project default; customer location was not captured</v>
      </c>
      <c r="R2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Validate engagement before retaining Warm status
Contact the customer and record their actual location</v>
      </c>
      <c r="S24" t="str">
        <f ca="1">IF(RawData[[#This Row],[Error Flag]]=0,"",IF(OR(ISNUMBER(SEARCH("Wrong Lead Status",RawData[[#This Row],[Error Type]])),ISNUMBER(SEARCH("RNR Classification Error",RawData[[#This Row],[Error Type]])),ISNUMBER(SEARCH("Follow-up Error",RawData[[#This Row],[Error Type]]))),"Critical","Medium"))</f>
        <v>Medium</v>
      </c>
      <c r="T24" t="str">
        <f ca="1">IF(RawData[[#This Row],[Error Flag]]=0,"Pass","Action Required ("&amp;RawData[[#This Row],[Error Flag]]&amp;IF(RawData[[#This Row],[Error Flag]]=1," error)"," errors)"))</f>
        <v>Action Required (2 errors)</v>
      </c>
      <c r="U24"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2</v>
      </c>
      <c r="W24" t="str">
        <f ca="1">'Telecaller Performance'!A28</f>
        <v/>
      </c>
      <c r="X24" s="8" t="e" cm="1">
        <f t="array" aca="1" ref="X24" ca="1">IF(W24="",NA(),_xlfn.LET(_xlpm.v,SUBTOTAL(103,OFFSET(RawData[Mobile],ROW(RawData[Mobile])-MIN(ROW(RawData[Mobile])),0,1)),_xlpm.z,SUMPRODUCT(_xlpm.v,--(RawData[Telecaller Name]=W24)),IF(_xlpm.z=0,NA(),MAX(0,1-SUMPRODUCT(_xlpm.v,--(RawData[Telecaller Name]=W24),RawData[Error Flag])/_xlpm.z))))</f>
        <v>#N/A</v>
      </c>
      <c r="Z24" t="str">
        <f ca="1">'Telecaller Performance'!A28</f>
        <v/>
      </c>
      <c r="AA24" t="e" cm="1">
        <f t="array" aca="1" ref="AA24" ca="1">IF(Z24="",NA(),_xlfn.LET(_xlpm.v,SUBTOTAL(103,OFFSET(RawData[Mobile],ROW(RawData[Mobile])-MIN(ROW(RawData[Mobile])),0,1)),_xlpm.z,SUMPRODUCT(_xlpm.v,--(RawData[Telecaller Name]=Z24)),IF(_xlpm.z=0,NA(),SUMPRODUCT(_xlpm.v,--(RawData[Telecaller Name]=Z24),RawData[Error Flag]))))</f>
        <v>#N/A</v>
      </c>
      <c r="AF24" t="str" cm="1">
        <f t="array" ref="AF24">IFERROR(INDEX(_xlfn._xlws.SORT(_xlfn.UNIQUE(_xlfn._xlws.FILTER(RawData[Project Name],RawData[Project Name]&lt;&gt;""))),ROWS(AF$2:AF24)),"")</f>
        <v/>
      </c>
      <c r="AG24" t="e" cm="1">
        <f t="array" aca="1" ref="AG24" ca="1">IF(AF24="",NA(),_xlfn.LET(_xlpm.v,SUBTOTAL(103,OFFSET(RawData[Mobile],ROW(RawData[Mobile])-MIN(ROW(RawData[Mobile])),0,1)),_xlpm.z,SUMPRODUCT(_xlpm.v,--(RawData[Project Name]=AF24)),IF(_xlpm.z=0,NA(),SUMPRODUCT(_xlpm.v,--(RawData[Project Name]=AF24),RawData[Error Flag]))))</f>
        <v>#N/A</v>
      </c>
    </row>
    <row r="25" spans="1:33" ht="60" customHeight="1" x14ac:dyDescent="0.25">
      <c r="A25" t="s">
        <v>37</v>
      </c>
      <c r="B25" s="1">
        <v>9742842886</v>
      </c>
      <c r="C25" t="s">
        <v>19</v>
      </c>
      <c r="D25" s="2">
        <v>46253</v>
      </c>
      <c r="E25" t="s">
        <v>20</v>
      </c>
      <c r="F25" t="s">
        <v>59</v>
      </c>
      <c r="G25" s="3">
        <v>46256.489583333336</v>
      </c>
      <c r="H25" t="s">
        <v>22</v>
      </c>
      <c r="I25" s="4">
        <v>-1</v>
      </c>
      <c r="J25" t="s">
        <v>23</v>
      </c>
      <c r="K25" t="s">
        <v>24</v>
      </c>
      <c r="L25" t="s">
        <v>60</v>
      </c>
      <c r="M25" t="s">
        <v>38</v>
      </c>
      <c r="N25" t="s">
        <v>39</v>
      </c>
      <c r="O25">
        <v>1</v>
      </c>
      <c r="P25"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Warm Status Mismatch | Customer Location Not Captured</v>
      </c>
      <c r="Q2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Contact-only outcome does not support Warm status
Anekal is the project default; customer location was not captured</v>
      </c>
      <c r="R2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Validate engagement before retaining Warm status
Contact the customer and record their actual location</v>
      </c>
      <c r="S25" t="str">
        <f ca="1">IF(RawData[[#This Row],[Error Flag]]=0,"",IF(OR(ISNUMBER(SEARCH("Wrong Lead Status",RawData[[#This Row],[Error Type]])),ISNUMBER(SEARCH("RNR Classification Error",RawData[[#This Row],[Error Type]])),ISNUMBER(SEARCH("Follow-up Error",RawData[[#This Row],[Error Type]]))),"Critical","Medium"))</f>
        <v>Medium</v>
      </c>
      <c r="T25" t="str">
        <f ca="1">IF(RawData[[#This Row],[Error Flag]]=0,"Pass","Action Required ("&amp;RawData[[#This Row],[Error Flag]]&amp;IF(RawData[[#This Row],[Error Flag]]=1," error)"," errors)"))</f>
        <v>Action Required (2 errors)</v>
      </c>
      <c r="U25"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2</v>
      </c>
      <c r="W25" t="str">
        <f ca="1">'Telecaller Performance'!A29</f>
        <v/>
      </c>
      <c r="X25" s="8" t="e" cm="1">
        <f t="array" aca="1" ref="X25" ca="1">IF(W25="",NA(),_xlfn.LET(_xlpm.v,SUBTOTAL(103,OFFSET(RawData[Mobile],ROW(RawData[Mobile])-MIN(ROW(RawData[Mobile])),0,1)),_xlpm.z,SUMPRODUCT(_xlpm.v,--(RawData[Telecaller Name]=W25)),IF(_xlpm.z=0,NA(),MAX(0,1-SUMPRODUCT(_xlpm.v,--(RawData[Telecaller Name]=W25),RawData[Error Flag])/_xlpm.z))))</f>
        <v>#N/A</v>
      </c>
      <c r="Z25" t="str">
        <f ca="1">'Telecaller Performance'!A29</f>
        <v/>
      </c>
      <c r="AA25" t="e" cm="1">
        <f t="array" aca="1" ref="AA25" ca="1">IF(Z25="",NA(),_xlfn.LET(_xlpm.v,SUBTOTAL(103,OFFSET(RawData[Mobile],ROW(RawData[Mobile])-MIN(ROW(RawData[Mobile])),0,1)),_xlpm.z,SUMPRODUCT(_xlpm.v,--(RawData[Telecaller Name]=Z25)),IF(_xlpm.z=0,NA(),SUMPRODUCT(_xlpm.v,--(RawData[Telecaller Name]=Z25),RawData[Error Flag]))))</f>
        <v>#N/A</v>
      </c>
      <c r="AF25" t="str" cm="1">
        <f t="array" ref="AF25">IFERROR(INDEX(_xlfn._xlws.SORT(_xlfn.UNIQUE(_xlfn._xlws.FILTER(RawData[Project Name],RawData[Project Name]&lt;&gt;""))),ROWS(AF$2:AF25)),"")</f>
        <v/>
      </c>
      <c r="AG25" t="e" cm="1">
        <f t="array" aca="1" ref="AG25" ca="1">IF(AF25="",NA(),_xlfn.LET(_xlpm.v,SUBTOTAL(103,OFFSET(RawData[Mobile],ROW(RawData[Mobile])-MIN(ROW(RawData[Mobile])),0,1)),_xlpm.z,SUMPRODUCT(_xlpm.v,--(RawData[Project Name]=AF25)),IF(_xlpm.z=0,NA(),SUMPRODUCT(_xlpm.v,--(RawData[Project Name]=AF25),RawData[Error Flag]))))</f>
        <v>#N/A</v>
      </c>
    </row>
    <row r="26" spans="1:33" x14ac:dyDescent="0.25">
      <c r="A26" t="s">
        <v>37</v>
      </c>
      <c r="B26" s="1">
        <v>9844043359</v>
      </c>
      <c r="C26" t="s">
        <v>19</v>
      </c>
      <c r="D26" s="2">
        <v>46254</v>
      </c>
      <c r="E26" t="s">
        <v>20</v>
      </c>
      <c r="F26" t="s">
        <v>64</v>
      </c>
      <c r="G26" s="3">
        <v>46256.427083333336</v>
      </c>
      <c r="I26" s="4">
        <v>-1</v>
      </c>
      <c r="J26" t="s">
        <v>23</v>
      </c>
      <c r="K26" t="s">
        <v>24</v>
      </c>
      <c r="L26" t="s">
        <v>65</v>
      </c>
      <c r="M26" t="s">
        <v>15</v>
      </c>
      <c r="N26" t="s">
        <v>18</v>
      </c>
      <c r="O26">
        <v>1</v>
      </c>
      <c r="P26"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2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2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26" t="str">
        <f ca="1">IF(RawData[[#This Row],[Error Flag]]=0,"",IF(OR(ISNUMBER(SEARCH("Wrong Lead Status",RawData[[#This Row],[Error Type]])),ISNUMBER(SEARCH("RNR Classification Error",RawData[[#This Row],[Error Type]])),ISNUMBER(SEARCH("Follow-up Error",RawData[[#This Row],[Error Type]]))),"Critical","Medium"))</f>
        <v/>
      </c>
      <c r="T26" t="str">
        <f ca="1">IF(RawData[[#This Row],[Error Flag]]=0,"Pass","Action Required ("&amp;RawData[[#This Row],[Error Flag]]&amp;IF(RawData[[#This Row],[Error Flag]]=1," error)"," errors)"))</f>
        <v>Pass</v>
      </c>
      <c r="U26"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26" t="str">
        <f ca="1">'Telecaller Performance'!A30</f>
        <v/>
      </c>
      <c r="X26" s="8" t="e" cm="1">
        <f t="array" aca="1" ref="X26" ca="1">IF(W26="",NA(),_xlfn.LET(_xlpm.v,SUBTOTAL(103,OFFSET(RawData[Mobile],ROW(RawData[Mobile])-MIN(ROW(RawData[Mobile])),0,1)),_xlpm.z,SUMPRODUCT(_xlpm.v,--(RawData[Telecaller Name]=W26)),IF(_xlpm.z=0,NA(),MAX(0,1-SUMPRODUCT(_xlpm.v,--(RawData[Telecaller Name]=W26),RawData[Error Flag])/_xlpm.z))))</f>
        <v>#N/A</v>
      </c>
      <c r="Z26" t="str">
        <f ca="1">'Telecaller Performance'!A30</f>
        <v/>
      </c>
      <c r="AA26" t="e" cm="1">
        <f t="array" aca="1" ref="AA26" ca="1">IF(Z26="",NA(),_xlfn.LET(_xlpm.v,SUBTOTAL(103,OFFSET(RawData[Mobile],ROW(RawData[Mobile])-MIN(ROW(RawData[Mobile])),0,1)),_xlpm.z,SUMPRODUCT(_xlpm.v,--(RawData[Telecaller Name]=Z26)),IF(_xlpm.z=0,NA(),SUMPRODUCT(_xlpm.v,--(RawData[Telecaller Name]=Z26),RawData[Error Flag]))))</f>
        <v>#N/A</v>
      </c>
      <c r="AF26" t="str" cm="1">
        <f t="array" ref="AF26">IFERROR(INDEX(_xlfn._xlws.SORT(_xlfn.UNIQUE(_xlfn._xlws.FILTER(RawData[Project Name],RawData[Project Name]&lt;&gt;""))),ROWS(AF$2:AF26)),"")</f>
        <v/>
      </c>
      <c r="AG26" t="e" cm="1">
        <f t="array" aca="1" ref="AG26" ca="1">IF(AF26="",NA(),_xlfn.LET(_xlpm.v,SUBTOTAL(103,OFFSET(RawData[Mobile],ROW(RawData[Mobile])-MIN(ROW(RawData[Mobile])),0,1)),_xlpm.z,SUMPRODUCT(_xlpm.v,--(RawData[Project Name]=AF26)),IF(_xlpm.z=0,NA(),SUMPRODUCT(_xlpm.v,--(RawData[Project Name]=AF26),RawData[Error Flag]))))</f>
        <v>#N/A</v>
      </c>
    </row>
    <row r="27" spans="1:33" ht="110.25" x14ac:dyDescent="0.25">
      <c r="A27" t="s">
        <v>37</v>
      </c>
      <c r="B27" s="1">
        <v>9866183030</v>
      </c>
      <c r="C27" t="s">
        <v>19</v>
      </c>
      <c r="D27" s="2">
        <v>46253</v>
      </c>
      <c r="E27" t="s">
        <v>20</v>
      </c>
      <c r="F27" t="s">
        <v>26</v>
      </c>
      <c r="G27" s="3">
        <v>46256.460416666669</v>
      </c>
      <c r="H27" t="s">
        <v>22</v>
      </c>
      <c r="I27" s="4">
        <v>-1</v>
      </c>
      <c r="J27" t="s">
        <v>23</v>
      </c>
      <c r="K27" t="s">
        <v>24</v>
      </c>
      <c r="L27" t="s">
        <v>26</v>
      </c>
      <c r="M27" t="s">
        <v>38</v>
      </c>
      <c r="N27" t="s">
        <v>39</v>
      </c>
      <c r="O27">
        <v>1</v>
      </c>
      <c r="P27"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2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2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27" t="str">
        <f ca="1">IF(RawData[[#This Row],[Error Flag]]=0,"",IF(OR(ISNUMBER(SEARCH("Wrong Lead Status",RawData[[#This Row],[Error Type]])),ISNUMBER(SEARCH("RNR Classification Error",RawData[[#This Row],[Error Type]])),ISNUMBER(SEARCH("Follow-up Error",RawData[[#This Row],[Error Type]]))),"Critical","Medium"))</f>
        <v>Medium</v>
      </c>
      <c r="T27" t="str">
        <f ca="1">IF(RawData[[#This Row],[Error Flag]]=0,"Pass","Action Required ("&amp;RawData[[#This Row],[Error Flag]]&amp;IF(RawData[[#This Row],[Error Flag]]=1," error)"," errors)"))</f>
        <v>Action Required (1 error)</v>
      </c>
      <c r="U27"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27" t="str">
        <f ca="1">'Telecaller Performance'!A31</f>
        <v/>
      </c>
      <c r="X27" s="8" t="e" cm="1">
        <f t="array" aca="1" ref="X27" ca="1">IF(W27="",NA(),_xlfn.LET(_xlpm.v,SUBTOTAL(103,OFFSET(RawData[Mobile],ROW(RawData[Mobile])-MIN(ROW(RawData[Mobile])),0,1)),_xlpm.z,SUMPRODUCT(_xlpm.v,--(RawData[Telecaller Name]=W27)),IF(_xlpm.z=0,NA(),MAX(0,1-SUMPRODUCT(_xlpm.v,--(RawData[Telecaller Name]=W27),RawData[Error Flag])/_xlpm.z))))</f>
        <v>#N/A</v>
      </c>
      <c r="Z27" t="str">
        <f ca="1">'Telecaller Performance'!A31</f>
        <v/>
      </c>
      <c r="AA27" t="e" cm="1">
        <f t="array" aca="1" ref="AA27" ca="1">IF(Z27="",NA(),_xlfn.LET(_xlpm.v,SUBTOTAL(103,OFFSET(RawData[Mobile],ROW(RawData[Mobile])-MIN(ROW(RawData[Mobile])),0,1)),_xlpm.z,SUMPRODUCT(_xlpm.v,--(RawData[Telecaller Name]=Z27)),IF(_xlpm.z=0,NA(),SUMPRODUCT(_xlpm.v,--(RawData[Telecaller Name]=Z27),RawData[Error Flag]))))</f>
        <v>#N/A</v>
      </c>
      <c r="AF27" t="str" cm="1">
        <f t="array" ref="AF27">IFERROR(INDEX(_xlfn._xlws.SORT(_xlfn.UNIQUE(_xlfn._xlws.FILTER(RawData[Project Name],RawData[Project Name]&lt;&gt;""))),ROWS(AF$2:AF27)),"")</f>
        <v/>
      </c>
      <c r="AG27" t="e" cm="1">
        <f t="array" aca="1" ref="AG27" ca="1">IF(AF27="",NA(),_xlfn.LET(_xlpm.v,SUBTOTAL(103,OFFSET(RawData[Mobile],ROW(RawData[Mobile])-MIN(ROW(RawData[Mobile])),0,1)),_xlpm.z,SUMPRODUCT(_xlpm.v,--(RawData[Project Name]=AF27)),IF(_xlpm.z=0,NA(),SUMPRODUCT(_xlpm.v,--(RawData[Project Name]=AF27),RawData[Error Flag]))))</f>
        <v>#N/A</v>
      </c>
    </row>
    <row r="28" spans="1:33" x14ac:dyDescent="0.25">
      <c r="A28" t="s">
        <v>37</v>
      </c>
      <c r="B28" s="1">
        <v>9886445543</v>
      </c>
      <c r="C28" t="s">
        <v>19</v>
      </c>
      <c r="D28" s="2">
        <v>46254</v>
      </c>
      <c r="E28" t="s">
        <v>20</v>
      </c>
      <c r="F28" t="s">
        <v>66</v>
      </c>
      <c r="G28" s="3">
        <v>46256.538194444445</v>
      </c>
      <c r="I28" s="4">
        <v>-1</v>
      </c>
      <c r="J28" t="s">
        <v>23</v>
      </c>
      <c r="K28" t="s">
        <v>29</v>
      </c>
      <c r="L28" t="s">
        <v>67</v>
      </c>
      <c r="M28" t="s">
        <v>15</v>
      </c>
      <c r="N28" t="s">
        <v>18</v>
      </c>
      <c r="O28">
        <v>1</v>
      </c>
      <c r="P28"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2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28"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28" t="str">
        <f ca="1">IF(RawData[[#This Row],[Error Flag]]=0,"",IF(OR(ISNUMBER(SEARCH("Wrong Lead Status",RawData[[#This Row],[Error Type]])),ISNUMBER(SEARCH("RNR Classification Error",RawData[[#This Row],[Error Type]])),ISNUMBER(SEARCH("Follow-up Error",RawData[[#This Row],[Error Type]]))),"Critical","Medium"))</f>
        <v/>
      </c>
      <c r="T28" t="str">
        <f ca="1">IF(RawData[[#This Row],[Error Flag]]=0,"Pass","Action Required ("&amp;RawData[[#This Row],[Error Flag]]&amp;IF(RawData[[#This Row],[Error Flag]]=1," error)"," errors)"))</f>
        <v>Pass</v>
      </c>
      <c r="U28"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28" t="str">
        <f ca="1">'Telecaller Performance'!A32</f>
        <v/>
      </c>
      <c r="X28" s="8" t="e" cm="1">
        <f t="array" aca="1" ref="X28" ca="1">IF(W28="",NA(),_xlfn.LET(_xlpm.v,SUBTOTAL(103,OFFSET(RawData[Mobile],ROW(RawData[Mobile])-MIN(ROW(RawData[Mobile])),0,1)),_xlpm.z,SUMPRODUCT(_xlpm.v,--(RawData[Telecaller Name]=W28)),IF(_xlpm.z=0,NA(),MAX(0,1-SUMPRODUCT(_xlpm.v,--(RawData[Telecaller Name]=W28),RawData[Error Flag])/_xlpm.z))))</f>
        <v>#N/A</v>
      </c>
      <c r="Z28" t="str">
        <f ca="1">'Telecaller Performance'!A32</f>
        <v/>
      </c>
      <c r="AA28" t="e" cm="1">
        <f t="array" aca="1" ref="AA28" ca="1">IF(Z28="",NA(),_xlfn.LET(_xlpm.v,SUBTOTAL(103,OFFSET(RawData[Mobile],ROW(RawData[Mobile])-MIN(ROW(RawData[Mobile])),0,1)),_xlpm.z,SUMPRODUCT(_xlpm.v,--(RawData[Telecaller Name]=Z28)),IF(_xlpm.z=0,NA(),SUMPRODUCT(_xlpm.v,--(RawData[Telecaller Name]=Z28),RawData[Error Flag]))))</f>
        <v>#N/A</v>
      </c>
      <c r="AF28" t="str" cm="1">
        <f t="array" ref="AF28">IFERROR(INDEX(_xlfn._xlws.SORT(_xlfn.UNIQUE(_xlfn._xlws.FILTER(RawData[Project Name],RawData[Project Name]&lt;&gt;""))),ROWS(AF$2:AF28)),"")</f>
        <v/>
      </c>
      <c r="AG28" t="e" cm="1">
        <f t="array" aca="1" ref="AG28" ca="1">IF(AF28="",NA(),_xlfn.LET(_xlpm.v,SUBTOTAL(103,OFFSET(RawData[Mobile],ROW(RawData[Mobile])-MIN(ROW(RawData[Mobile])),0,1)),_xlpm.z,SUMPRODUCT(_xlpm.v,--(RawData[Project Name]=AF28)),IF(_xlpm.z=0,NA(),SUMPRODUCT(_xlpm.v,--(RawData[Project Name]=AF28),RawData[Error Flag]))))</f>
        <v>#N/A</v>
      </c>
    </row>
    <row r="29" spans="1:33" ht="110.25" x14ac:dyDescent="0.25">
      <c r="A29" t="s">
        <v>37</v>
      </c>
      <c r="B29" s="1">
        <v>9980197119</v>
      </c>
      <c r="C29" t="s">
        <v>19</v>
      </c>
      <c r="D29" s="2">
        <v>46254</v>
      </c>
      <c r="E29" t="s">
        <v>20</v>
      </c>
      <c r="F29" t="s">
        <v>26</v>
      </c>
      <c r="G29" s="3">
        <v>46256.442361111112</v>
      </c>
      <c r="H29" t="s">
        <v>22</v>
      </c>
      <c r="I29" s="4">
        <v>-1</v>
      </c>
      <c r="J29" t="s">
        <v>23</v>
      </c>
      <c r="K29" t="s">
        <v>24</v>
      </c>
      <c r="L29" t="s">
        <v>27</v>
      </c>
      <c r="M29" t="s">
        <v>38</v>
      </c>
      <c r="N29" t="s">
        <v>39</v>
      </c>
      <c r="O29">
        <v>1</v>
      </c>
      <c r="P29"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Customer Location Not Captured</v>
      </c>
      <c r="Q2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Anekal is the project default; customer location was not captured</v>
      </c>
      <c r="R29"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the customer and record their actual location</v>
      </c>
      <c r="S29" t="str">
        <f ca="1">IF(RawData[[#This Row],[Error Flag]]=0,"",IF(OR(ISNUMBER(SEARCH("Wrong Lead Status",RawData[[#This Row],[Error Type]])),ISNUMBER(SEARCH("RNR Classification Error",RawData[[#This Row],[Error Type]])),ISNUMBER(SEARCH("Follow-up Error",RawData[[#This Row],[Error Type]]))),"Critical","Medium"))</f>
        <v>Medium</v>
      </c>
      <c r="T29" t="str">
        <f ca="1">IF(RawData[[#This Row],[Error Flag]]=0,"Pass","Action Required ("&amp;RawData[[#This Row],[Error Flag]]&amp;IF(RawData[[#This Row],[Error Flag]]=1," error)"," errors)"))</f>
        <v>Action Required (1 error)</v>
      </c>
      <c r="U29"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c r="W29" t="str">
        <f ca="1">'Telecaller Performance'!A33</f>
        <v/>
      </c>
      <c r="X29" s="8" t="e" cm="1">
        <f t="array" aca="1" ref="X29" ca="1">IF(W29="",NA(),_xlfn.LET(_xlpm.v,SUBTOTAL(103,OFFSET(RawData[Mobile],ROW(RawData[Mobile])-MIN(ROW(RawData[Mobile])),0,1)),_xlpm.z,SUMPRODUCT(_xlpm.v,--(RawData[Telecaller Name]=W29)),IF(_xlpm.z=0,NA(),MAX(0,1-SUMPRODUCT(_xlpm.v,--(RawData[Telecaller Name]=W29),RawData[Error Flag])/_xlpm.z))))</f>
        <v>#N/A</v>
      </c>
      <c r="Z29" t="str">
        <f ca="1">'Telecaller Performance'!A33</f>
        <v/>
      </c>
      <c r="AA29" t="e" cm="1">
        <f t="array" aca="1" ref="AA29" ca="1">IF(Z29="",NA(),_xlfn.LET(_xlpm.v,SUBTOTAL(103,OFFSET(RawData[Mobile],ROW(RawData[Mobile])-MIN(ROW(RawData[Mobile])),0,1)),_xlpm.z,SUMPRODUCT(_xlpm.v,--(RawData[Telecaller Name]=Z29)),IF(_xlpm.z=0,NA(),SUMPRODUCT(_xlpm.v,--(RawData[Telecaller Name]=Z29),RawData[Error Flag]))))</f>
        <v>#N/A</v>
      </c>
      <c r="AF29" t="str" cm="1">
        <f t="array" ref="AF29">IFERROR(INDEX(_xlfn._xlws.SORT(_xlfn.UNIQUE(_xlfn._xlws.FILTER(RawData[Project Name],RawData[Project Name]&lt;&gt;""))),ROWS(AF$2:AF29)),"")</f>
        <v/>
      </c>
      <c r="AG29" t="e" cm="1">
        <f t="array" aca="1" ref="AG29" ca="1">IF(AF29="",NA(),_xlfn.LET(_xlpm.v,SUBTOTAL(103,OFFSET(RawData[Mobile],ROW(RawData[Mobile])-MIN(ROW(RawData[Mobile])),0,1)),_xlpm.z,SUMPRODUCT(_xlpm.v,--(RawData[Project Name]=AF29)),IF(_xlpm.z=0,NA(),SUMPRODUCT(_xlpm.v,--(RawData[Project Name]=AF29),RawData[Error Flag]))))</f>
        <v>#N/A</v>
      </c>
    </row>
    <row r="30" spans="1:33" x14ac:dyDescent="0.25">
      <c r="A30" t="s">
        <v>37</v>
      </c>
      <c r="B30" s="1">
        <v>9986227911</v>
      </c>
      <c r="C30" t="s">
        <v>19</v>
      </c>
      <c r="D30" s="2">
        <v>46254</v>
      </c>
      <c r="E30" t="s">
        <v>20</v>
      </c>
      <c r="F30" t="s">
        <v>26</v>
      </c>
      <c r="G30" s="3">
        <v>46256.450694444444</v>
      </c>
      <c r="I30" s="4">
        <v>-1</v>
      </c>
      <c r="J30" t="s">
        <v>23</v>
      </c>
      <c r="K30" t="s">
        <v>29</v>
      </c>
      <c r="L30" t="s">
        <v>27</v>
      </c>
      <c r="M30" t="s">
        <v>15</v>
      </c>
      <c r="N30" t="s">
        <v>18</v>
      </c>
      <c r="O30">
        <v>1</v>
      </c>
      <c r="P30"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3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30"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30" t="str">
        <f ca="1">IF(RawData[[#This Row],[Error Flag]]=0,"",IF(OR(ISNUMBER(SEARCH("Wrong Lead Status",RawData[[#This Row],[Error Type]])),ISNUMBER(SEARCH("RNR Classification Error",RawData[[#This Row],[Error Type]])),ISNUMBER(SEARCH("Follow-up Error",RawData[[#This Row],[Error Type]]))),"Critical","Medium"))</f>
        <v/>
      </c>
      <c r="T30" t="str">
        <f ca="1">IF(RawData[[#This Row],[Error Flag]]=0,"Pass","Action Required ("&amp;RawData[[#This Row],[Error Flag]]&amp;IF(RawData[[#This Row],[Error Flag]]=1," error)"," errors)"))</f>
        <v>Pass</v>
      </c>
      <c r="U30"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30" t="str">
        <f ca="1">'Telecaller Performance'!A34</f>
        <v/>
      </c>
      <c r="X30" s="8" t="e" cm="1">
        <f t="array" aca="1" ref="X30" ca="1">IF(W30="",NA(),_xlfn.LET(_xlpm.v,SUBTOTAL(103,OFFSET(RawData[Mobile],ROW(RawData[Mobile])-MIN(ROW(RawData[Mobile])),0,1)),_xlpm.z,SUMPRODUCT(_xlpm.v,--(RawData[Telecaller Name]=W30)),IF(_xlpm.z=0,NA(),MAX(0,1-SUMPRODUCT(_xlpm.v,--(RawData[Telecaller Name]=W30),RawData[Error Flag])/_xlpm.z))))</f>
        <v>#N/A</v>
      </c>
      <c r="Z30" t="str">
        <f ca="1">'Telecaller Performance'!A34</f>
        <v/>
      </c>
      <c r="AA30" t="e" cm="1">
        <f t="array" aca="1" ref="AA30" ca="1">IF(Z30="",NA(),_xlfn.LET(_xlpm.v,SUBTOTAL(103,OFFSET(RawData[Mobile],ROW(RawData[Mobile])-MIN(ROW(RawData[Mobile])),0,1)),_xlpm.z,SUMPRODUCT(_xlpm.v,--(RawData[Telecaller Name]=Z30)),IF(_xlpm.z=0,NA(),SUMPRODUCT(_xlpm.v,--(RawData[Telecaller Name]=Z30),RawData[Error Flag]))))</f>
        <v>#N/A</v>
      </c>
      <c r="AF30" t="str" cm="1">
        <f t="array" ref="AF30">IFERROR(INDEX(_xlfn._xlws.SORT(_xlfn.UNIQUE(_xlfn._xlws.FILTER(RawData[Project Name],RawData[Project Name]&lt;&gt;""))),ROWS(AF$2:AF30)),"")</f>
        <v/>
      </c>
      <c r="AG30" t="e" cm="1">
        <f t="array" aca="1" ref="AG30" ca="1">IF(AF30="",NA(),_xlfn.LET(_xlpm.v,SUBTOTAL(103,OFFSET(RawData[Mobile],ROW(RawData[Mobile])-MIN(ROW(RawData[Mobile])),0,1)),_xlpm.z,SUMPRODUCT(_xlpm.v,--(RawData[Project Name]=AF30)),IF(_xlpm.z=0,NA(),SUMPRODUCT(_xlpm.v,--(RawData[Project Name]=AF30),RawData[Error Flag]))))</f>
        <v>#N/A</v>
      </c>
    </row>
    <row r="31" spans="1:33" x14ac:dyDescent="0.25">
      <c r="A31" t="s">
        <v>68</v>
      </c>
      <c r="B31" s="1">
        <v>8792113565</v>
      </c>
      <c r="C31" t="s">
        <v>32</v>
      </c>
      <c r="D31" s="2">
        <v>46253</v>
      </c>
      <c r="E31" t="s">
        <v>20</v>
      </c>
      <c r="F31" t="s">
        <v>69</v>
      </c>
      <c r="G31" s="3">
        <v>46275.465277777781</v>
      </c>
      <c r="I31" s="4">
        <v>-20</v>
      </c>
      <c r="J31" t="s">
        <v>23</v>
      </c>
      <c r="K31" t="s">
        <v>29</v>
      </c>
      <c r="L31" t="s">
        <v>70</v>
      </c>
      <c r="M31" t="s">
        <v>35</v>
      </c>
      <c r="N31" t="s">
        <v>36</v>
      </c>
      <c r="O31">
        <v>1</v>
      </c>
      <c r="P31"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3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31"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31" t="str">
        <f ca="1">IF(RawData[[#This Row],[Error Flag]]=0,"",IF(OR(ISNUMBER(SEARCH("Wrong Lead Status",RawData[[#This Row],[Error Type]])),ISNUMBER(SEARCH("RNR Classification Error",RawData[[#This Row],[Error Type]])),ISNUMBER(SEARCH("Follow-up Error",RawData[[#This Row],[Error Type]]))),"Critical","Medium"))</f>
        <v/>
      </c>
      <c r="T31" t="str">
        <f ca="1">IF(RawData[[#This Row],[Error Flag]]=0,"Pass","Action Required ("&amp;RawData[[#This Row],[Error Flag]]&amp;IF(RawData[[#This Row],[Error Flag]]=1," error)"," errors)"))</f>
        <v>Pass</v>
      </c>
      <c r="U31"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c r="W31" t="str">
        <f ca="1">'Telecaller Performance'!A35</f>
        <v/>
      </c>
      <c r="X31" s="8" t="e" cm="1">
        <f t="array" aca="1" ref="X31" ca="1">IF(W31="",NA(),_xlfn.LET(_xlpm.v,SUBTOTAL(103,OFFSET(RawData[Mobile],ROW(RawData[Mobile])-MIN(ROW(RawData[Mobile])),0,1)),_xlpm.z,SUMPRODUCT(_xlpm.v,--(RawData[Telecaller Name]=W31)),IF(_xlpm.z=0,NA(),MAX(0,1-SUMPRODUCT(_xlpm.v,--(RawData[Telecaller Name]=W31),RawData[Error Flag])/_xlpm.z))))</f>
        <v>#N/A</v>
      </c>
      <c r="Z31" t="str">
        <f ca="1">'Telecaller Performance'!A35</f>
        <v/>
      </c>
      <c r="AA31" t="e" cm="1">
        <f t="array" aca="1" ref="AA31" ca="1">IF(Z31="",NA(),_xlfn.LET(_xlpm.v,SUBTOTAL(103,OFFSET(RawData[Mobile],ROW(RawData[Mobile])-MIN(ROW(RawData[Mobile])),0,1)),_xlpm.z,SUMPRODUCT(_xlpm.v,--(RawData[Telecaller Name]=Z31)),IF(_xlpm.z=0,NA(),SUMPRODUCT(_xlpm.v,--(RawData[Telecaller Name]=Z31),RawData[Error Flag]))))</f>
        <v>#N/A</v>
      </c>
      <c r="AF31" t="str" cm="1">
        <f t="array" ref="AF31">IFERROR(INDEX(_xlfn._xlws.SORT(_xlfn.UNIQUE(_xlfn._xlws.FILTER(RawData[Project Name],RawData[Project Name]&lt;&gt;""))),ROWS(AF$2:AF31)),"")</f>
        <v/>
      </c>
      <c r="AG31" t="e" cm="1">
        <f t="array" aca="1" ref="AG31" ca="1">IF(AF31="",NA(),_xlfn.LET(_xlpm.v,SUBTOTAL(103,OFFSET(RawData[Mobile],ROW(RawData[Mobile])-MIN(ROW(RawData[Mobile])),0,1)),_xlpm.z,SUMPRODUCT(_xlpm.v,--(RawData[Project Name]=AF31)),IF(_xlpm.z=0,NA(),SUMPRODUCT(_xlpm.v,--(RawData[Project Name]=AF31),RawData[Error Flag]))))</f>
        <v>#N/A</v>
      </c>
    </row>
    <row r="32" spans="1:33" ht="94.5" x14ac:dyDescent="0.25">
      <c r="A32" t="s">
        <v>68</v>
      </c>
      <c r="B32" s="1">
        <v>9113032590</v>
      </c>
      <c r="C32" t="s">
        <v>32</v>
      </c>
      <c r="D32" s="2">
        <v>46254</v>
      </c>
      <c r="E32" t="s">
        <v>20</v>
      </c>
      <c r="F32" t="s">
        <v>71</v>
      </c>
      <c r="G32" s="3">
        <v>46255.624305555553</v>
      </c>
      <c r="I32" s="4">
        <v>0</v>
      </c>
      <c r="J32" t="s">
        <v>23</v>
      </c>
      <c r="K32" t="s">
        <v>29</v>
      </c>
      <c r="L32" t="s">
        <v>72</v>
      </c>
      <c r="M32" t="s">
        <v>35</v>
      </c>
      <c r="N32" t="s">
        <v>73</v>
      </c>
      <c r="O32">
        <v>1</v>
      </c>
      <c r="P32"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Follow-up Error</v>
      </c>
      <c r="Q3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Follow-up date/time has passed for an active lead</v>
      </c>
      <c r="R32"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Contact immediately and set the next follow-up</v>
      </c>
      <c r="S32" t="str">
        <f ca="1">IF(RawData[[#This Row],[Error Flag]]=0,"",IF(OR(ISNUMBER(SEARCH("Wrong Lead Status",RawData[[#This Row],[Error Type]])),ISNUMBER(SEARCH("RNR Classification Error",RawData[[#This Row],[Error Type]])),ISNUMBER(SEARCH("Follow-up Error",RawData[[#This Row],[Error Type]]))),"Critical","Medium"))</f>
        <v>Critical</v>
      </c>
      <c r="T32" t="str">
        <f ca="1">IF(RawData[[#This Row],[Error Flag]]=0,"Pass","Action Required ("&amp;RawData[[#This Row],[Error Flag]]&amp;IF(RawData[[#This Row],[Error Flag]]=1," error)"," errors)"))</f>
        <v>Action Required (1 error)</v>
      </c>
      <c r="U32"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row>
    <row r="33" spans="1:21" ht="94.5" x14ac:dyDescent="0.25">
      <c r="A33" t="s">
        <v>74</v>
      </c>
      <c r="B33" s="1">
        <v>8451989990</v>
      </c>
      <c r="C33" t="s">
        <v>78</v>
      </c>
      <c r="D33" s="2">
        <v>46254</v>
      </c>
      <c r="E33" t="s">
        <v>46</v>
      </c>
      <c r="F33" t="s">
        <v>79</v>
      </c>
      <c r="G33" s="3">
        <v>46260.651388888888</v>
      </c>
      <c r="I33" s="4">
        <v>-5</v>
      </c>
      <c r="J33" t="s">
        <v>23</v>
      </c>
      <c r="K33" t="s">
        <v>80</v>
      </c>
      <c r="L33" t="s">
        <v>81</v>
      </c>
      <c r="M33" t="s">
        <v>15</v>
      </c>
      <c r="N33" t="s">
        <v>18</v>
      </c>
      <c r="O33">
        <v>1</v>
      </c>
      <c r="P33"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Wrong Lead Status</v>
      </c>
      <c r="Q3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Engagement intent conflicts with Cold/Lost status</v>
      </c>
      <c r="R33"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Reclassify lead and schedule a documented follow-up</v>
      </c>
      <c r="S33" t="str">
        <f ca="1">IF(RawData[[#This Row],[Error Flag]]=0,"",IF(OR(ISNUMBER(SEARCH("Wrong Lead Status",RawData[[#This Row],[Error Type]])),ISNUMBER(SEARCH("RNR Classification Error",RawData[[#This Row],[Error Type]])),ISNUMBER(SEARCH("Follow-up Error",RawData[[#This Row],[Error Type]]))),"Critical","Medium"))</f>
        <v>Critical</v>
      </c>
      <c r="T33" t="str">
        <f ca="1">IF(RawData[[#This Row],[Error Flag]]=0,"Pass","Action Required ("&amp;RawData[[#This Row],[Error Flag]]&amp;IF(RawData[[#This Row],[Error Flag]]=1," error)"," errors)"))</f>
        <v>Action Required (1 error)</v>
      </c>
      <c r="U33"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row>
    <row r="34" spans="1:21" x14ac:dyDescent="0.25">
      <c r="A34" t="s">
        <v>74</v>
      </c>
      <c r="B34" s="1">
        <v>9342563551</v>
      </c>
      <c r="C34" t="s">
        <v>86</v>
      </c>
      <c r="D34" s="2">
        <v>46254</v>
      </c>
      <c r="E34" t="s">
        <v>46</v>
      </c>
      <c r="F34" t="s">
        <v>87</v>
      </c>
      <c r="G34" s="3">
        <v>46256.449305555558</v>
      </c>
      <c r="I34" s="4">
        <v>-1</v>
      </c>
      <c r="J34" t="s">
        <v>23</v>
      </c>
      <c r="M34" t="s">
        <v>15</v>
      </c>
      <c r="N34" t="s">
        <v>18</v>
      </c>
      <c r="O34">
        <v>1</v>
      </c>
      <c r="P34"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3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34"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34" t="str">
        <f ca="1">IF(RawData[[#This Row],[Error Flag]]=0,"",IF(OR(ISNUMBER(SEARCH("Wrong Lead Status",RawData[[#This Row],[Error Type]])),ISNUMBER(SEARCH("RNR Classification Error",RawData[[#This Row],[Error Type]])),ISNUMBER(SEARCH("Follow-up Error",RawData[[#This Row],[Error Type]]))),"Critical","Medium"))</f>
        <v/>
      </c>
      <c r="T34" t="str">
        <f ca="1">IF(RawData[[#This Row],[Error Flag]]=0,"Pass","Action Required ("&amp;RawData[[#This Row],[Error Flag]]&amp;IF(RawData[[#This Row],[Error Flag]]=1," error)"," errors)"))</f>
        <v>Pass</v>
      </c>
      <c r="U34"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row>
    <row r="35" spans="1:21" ht="94.5" x14ac:dyDescent="0.25">
      <c r="A35" t="s">
        <v>74</v>
      </c>
      <c r="B35" s="1">
        <v>9538130876</v>
      </c>
      <c r="C35" t="s">
        <v>78</v>
      </c>
      <c r="D35" s="2">
        <v>46254</v>
      </c>
      <c r="E35" t="s">
        <v>46</v>
      </c>
      <c r="F35" t="s">
        <v>82</v>
      </c>
      <c r="G35" s="3">
        <v>46256.581250000003</v>
      </c>
      <c r="I35" s="4">
        <v>-1</v>
      </c>
      <c r="J35" t="s">
        <v>23</v>
      </c>
      <c r="K35" t="s">
        <v>29</v>
      </c>
      <c r="L35" t="s">
        <v>83</v>
      </c>
      <c r="M35" t="s">
        <v>15</v>
      </c>
      <c r="N35" t="s">
        <v>18</v>
      </c>
      <c r="O35">
        <v>1</v>
      </c>
      <c r="P35"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Wrong Lead Status</v>
      </c>
      <c r="Q3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Engagement intent conflicts with Cold/Lost status</v>
      </c>
      <c r="R35"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Reclassify lead and schedule a documented follow-up</v>
      </c>
      <c r="S35" t="str">
        <f ca="1">IF(RawData[[#This Row],[Error Flag]]=0,"",IF(OR(ISNUMBER(SEARCH("Wrong Lead Status",RawData[[#This Row],[Error Type]])),ISNUMBER(SEARCH("RNR Classification Error",RawData[[#This Row],[Error Type]])),ISNUMBER(SEARCH("Follow-up Error",RawData[[#This Row],[Error Type]]))),"Critical","Medium"))</f>
        <v>Critical</v>
      </c>
      <c r="T35" t="str">
        <f ca="1">IF(RawData[[#This Row],[Error Flag]]=0,"Pass","Action Required ("&amp;RawData[[#This Row],[Error Flag]]&amp;IF(RawData[[#This Row],[Error Flag]]=1," error)"," errors)"))</f>
        <v>Action Required (1 error)</v>
      </c>
      <c r="U35"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row>
    <row r="36" spans="1:21" x14ac:dyDescent="0.25">
      <c r="A36" t="s">
        <v>74</v>
      </c>
      <c r="B36" s="1">
        <v>9620403822</v>
      </c>
      <c r="C36" t="s">
        <v>32</v>
      </c>
      <c r="D36" s="2">
        <v>46254</v>
      </c>
      <c r="E36" t="s">
        <v>43</v>
      </c>
      <c r="F36" t="s">
        <v>75</v>
      </c>
      <c r="G36" s="3">
        <v>46256.415972222225</v>
      </c>
      <c r="H36" t="s">
        <v>76</v>
      </c>
      <c r="I36" s="4">
        <v>-1</v>
      </c>
      <c r="J36" t="s">
        <v>23</v>
      </c>
      <c r="K36" t="s">
        <v>29</v>
      </c>
      <c r="L36" t="s">
        <v>77</v>
      </c>
      <c r="M36" t="s">
        <v>35</v>
      </c>
      <c r="N36" t="s">
        <v>36</v>
      </c>
      <c r="O36">
        <v>1</v>
      </c>
      <c r="P36"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
      </c>
      <c r="Q3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
      </c>
      <c r="R36"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
      </c>
      <c r="S36" t="str">
        <f ca="1">IF(RawData[[#This Row],[Error Flag]]=0,"",IF(OR(ISNUMBER(SEARCH("Wrong Lead Status",RawData[[#This Row],[Error Type]])),ISNUMBER(SEARCH("RNR Classification Error",RawData[[#This Row],[Error Type]])),ISNUMBER(SEARCH("Follow-up Error",RawData[[#This Row],[Error Type]]))),"Critical","Medium"))</f>
        <v/>
      </c>
      <c r="T36" t="str">
        <f ca="1">IF(RawData[[#This Row],[Error Flag]]=0,"Pass","Action Required ("&amp;RawData[[#This Row],[Error Flag]]&amp;IF(RawData[[#This Row],[Error Flag]]=1," error)"," errors)"))</f>
        <v>Pass</v>
      </c>
      <c r="U36"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0</v>
      </c>
    </row>
    <row r="37" spans="1:21" ht="94.5" x14ac:dyDescent="0.25">
      <c r="A37" t="s">
        <v>74</v>
      </c>
      <c r="B37" s="1">
        <v>9986227911</v>
      </c>
      <c r="C37" t="s">
        <v>78</v>
      </c>
      <c r="D37" s="2">
        <v>46254</v>
      </c>
      <c r="E37" t="s">
        <v>46</v>
      </c>
      <c r="F37" t="s">
        <v>84</v>
      </c>
      <c r="G37" s="3">
        <v>46256.572916666664</v>
      </c>
      <c r="I37" s="4">
        <v>-1</v>
      </c>
      <c r="J37" t="s">
        <v>23</v>
      </c>
      <c r="K37" t="s">
        <v>29</v>
      </c>
      <c r="L37" t="s">
        <v>85</v>
      </c>
      <c r="M37" t="s">
        <v>15</v>
      </c>
      <c r="N37" t="s">
        <v>18</v>
      </c>
      <c r="O37">
        <v>1</v>
      </c>
      <c r="P37" s="6" t="str">
        <f ca="1">IF(RawData[[#This Row],[Mobile]]="","",_xlfn.TEXTJOIN(" | ",TRUE,IF(AND(OR(LOWER(TRIM(RawData[[#This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Row],[Comments]])))))),"Wrong Lead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Row],[Comments]]))="voicemail")),"RNR Classification Error",""),IF(AND(LOWER(TRIM(RawData[[#This Row],[Lead Status]]))="warm",OR(LOWER(TRIM(RawData[[#This Row],[Comments]]))="busy",LOWER(TRIM(RawData[[#This Row],[Comments]]))="voice mail",LOWER(TRIM(RawData[[#This Row],[Comments]]))="voicemail",LOWER(TRIM(RawData[[#This Row],[Comments]]))="call back later")),"Warm Status Mismatch",""),IF(AND(LOWER(TRIM(RawData[[#This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Requirement]]))))),"CRM Status Mismatch",""),IF(AND(ISNUMBER(RawData[[#This Row],[Next Followup Date]]),RawData[[#This Row],[Next Followup Date]]&lt;NOW(),OR(LOWER(TRIM(RawData[[#This Row],[Lead Status]]))="hot",LOWER(TRIM(RawData[[#This Row],[Lead Status]]))="prospect",LOWER(TRIM(RawData[[#This Row],[Lead Status]]))="warm")),"Follow-up Error",""),IF(AND(LOWER(TRIM(RawData[[#This Row],[Location]]))="anekal",OR(ISNUMBER(SEARCH("ernika",LOWER(RawData[[#This Row],[Project Name]]))),ISNUMBER(SEARCH("enrika",LOWER(RawData[[#This Row],[Project Name]]))),ISNUMBER(SEARCH("exotica",LOWER(RawData[[#This Row],[Project Name]]))),ISNUMBER(SEARCH(" eka",LOWER(RawData[[#This Row],[Project Name]]))))),"Customer Location Not Captured","")))</f>
        <v>Wrong Lead Status</v>
      </c>
      <c r="Q3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Row],[Comments]])))))),"Engagement intent conflicts with Cold/Lost status",""),IF(AND(LOWER(TRIM(RawData[[#This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Row],[Comments]]))="voicemail")),"Contact outcome should remain RNR rather than Cold",""),IF(AND(LOWER(TRIM(RawData[[#This Row],[Lead Status]]))="warm",OR(LOWER(TRIM(RawData[[#This Row],[Comments]]))="busy",LOWER(TRIM(RawData[[#This Row],[Comments]]))="voice mail",LOWER(TRIM(RawData[[#This Row],[Comments]]))="voicemail",LOWER(TRIM(RawData[[#This Row],[Comments]]))="call back later")),"Contact-only outcome does not support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Requirement]]))))),"Requirements were captured while CRM status remains RNR",""),IF(AND(ISNUMBER(RawData[[#This Row],[Next Followup Date]]),RawData[[#This Row],[Next Followup Date]]&lt;NOW(),OR(LOWER(TRIM(RawData[[#This Row],[Lead Status]]))="hot",LOWER(TRIM(RawData[[#This Row],[Lead Status]]))="prospect",LOWER(TRIM(RawData[[#This Row],[Lead Status]]))="warm")),"Follow-up date/time has passed for an active lead",""),IF(AND(LOWER(TRIM(RawData[[#This Row],[Location]]))="anekal",OR(ISNUMBER(SEARCH("ernika",LOWER(RawData[[#This Row],[Project Name]]))),ISNUMBER(SEARCH("enrika",LOWER(RawData[[#This Row],[Project Name]]))),ISNUMBER(SEARCH("exotica",LOWER(RawData[[#This Row],[Project Name]]))),ISNUMBER(SEARCH(" eka",LOWER(RawData[[#This Row],[Project Name]]))))),"Anekal is the project default; customer location was not captured","")))</f>
        <v>Engagement intent conflicts with Cold/Lost status</v>
      </c>
      <c r="R37" s="6" t="str">
        <f ca="1">IF(RawData[[#This Row],[Mobile]]="","",_xlfn.TEXTJOIN(CHAR(10),TRUE,IF(AND(OR(LOWER(TRIM(RawData[[#This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Row],[Comments]])))))),"Reclassify lead and schedule a documented follow-up",""),IF(AND(LOWER(TRIM(RawData[[#This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Row],[Comments]]))="voicemail")),"Change lead classification to RNR and retry contact",""),IF(AND(LOWER(TRIM(RawData[[#This Row],[Lead Status]]))="warm",OR(LOWER(TRIM(RawData[[#This Row],[Comments]]))="busy",LOWER(TRIM(RawData[[#This Row],[Comments]]))="voice mail",LOWER(TRIM(RawData[[#This Row],[Comments]]))="voicemail",LOWER(TRIM(RawData[[#This Row],[Comments]]))="call back later")),"Validate engagement before retaining Warm status",""),IF(AND(LOWER(TRIM(RawData[[#This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Requirement]]))))),"Update CRM status to reflect the collected requirement",""),IF(AND(ISNUMBER(RawData[[#This Row],[Next Followup Date]]),RawData[[#This Row],[Next Followup Date]]&lt;NOW(),OR(LOWER(TRIM(RawData[[#This Row],[Lead Status]]))="hot",LOWER(TRIM(RawData[[#This Row],[Lead Status]]))="prospect",LOWER(TRIM(RawData[[#This Row],[Lead Status]]))="warm")),"Contact immediately and set the next follow-up",""),IF(AND(LOWER(TRIM(RawData[[#This Row],[Location]]))="anekal",OR(ISNUMBER(SEARCH("ernika",LOWER(RawData[[#This Row],[Project Name]]))),ISNUMBER(SEARCH("enrika",LOWER(RawData[[#This Row],[Project Name]]))),ISNUMBER(SEARCH("exotica",LOWER(RawData[[#This Row],[Project Name]]))),ISNUMBER(SEARCH(" eka",LOWER(RawData[[#This Row],[Project Name]]))))),"Contact the customer and record their actual location","")))</f>
        <v>Reclassify lead and schedule a documented follow-up</v>
      </c>
      <c r="S37" t="str">
        <f ca="1">IF(RawData[[#This Row],[Error Flag]]=0,"",IF(OR(ISNUMBER(SEARCH("Wrong Lead Status",RawData[[#This Row],[Error Type]])),ISNUMBER(SEARCH("RNR Classification Error",RawData[[#This Row],[Error Type]])),ISNUMBER(SEARCH("Follow-up Error",RawData[[#This Row],[Error Type]]))),"Critical","Medium"))</f>
        <v>Critical</v>
      </c>
      <c r="T37" t="str">
        <f ca="1">IF(RawData[[#This Row],[Error Flag]]=0,"Pass","Action Required ("&amp;RawData[[#This Row],[Error Flag]]&amp;IF(RawData[[#This Row],[Error Flag]]=1," error)"," errors)"))</f>
        <v>Action Required (1 error)</v>
      </c>
      <c r="U37" s="4">
        <f ca="1">IF(RawData[[#This Row],[Mobile]]="",0,--(AND(OR(LOWER(TRIM(RawData[[#This Row],[Lead Status]]))="cold",LOWER(TRIM(RawData[[#This Row],[Lead Status]]))="lost"),OR(ISNUMBER(SEARCH("visit",LOWER(TRIM(RawData[[#This Row],[Comments]])))),ISNUMBER(SEARCH("brochure",LOWER(TRIM(RawData[[#This Row],[Comments]])))),ISNUMBER(SEARCH("pricing",LOWER(TRIM(RawData[[#This Row],[Comments]])))),ISNUMBER(SEARCH("price",LOWER(TRIM(RawData[[#This Row],[Comments]])))),ISNUMBER(SEARCH("budget",LOWER(TRIM(RawData[[#This Row],[Comments]])))))))+--(AND(LOWER(TRIM(RawData[[#This Row],[Lead Status]]))="cold",OR(LOWER(TRIM(RawData[[#This Row],[Comments]]))="rnr",LOWER(TRIM(RawData[[#This Row],[Comments]]))="busy",LOWER(TRIM(RawData[[#This Row],[Comments]]))="out of network",LOWER(TRIM(RawData[[#This Row],[Comments]]))="outoff network",LOWER(TRIM(RawData[[#This Row],[Comments]]))="voice mail",LOWER(TRIM(RawData[[#This Row],[Comments]]))="voicemail")))+--(AND(LOWER(TRIM(RawData[[#This Row],[Lead Status]]))="warm",OR(LOWER(TRIM(RawData[[#This Row],[Comments]]))="busy",LOWER(TRIM(RawData[[#This Row],[Comments]]))="voice mail",LOWER(TRIM(RawData[[#This Row],[Comments]]))="voicemail",LOWER(TRIM(RawData[[#This Row],[Comments]]))="call back later")))+--(AND(LOWER(TRIM(RawData[[#This Row],[Status]]))="rnr",OR(ISNUMBER(SEARCH("requirement",LOWER(RawData[[#This Row],[Comments]]&amp;" "&amp;RawData[[#This Row],[Customer Requirement]]))),ISNUMBER(SEARCH("budget",LOWER(RawData[[#This Row],[Comments]]&amp;" "&amp;RawData[[#This Row],[Customer Requirement]]))),ISNUMBER(SEARCH("location",LOWER(RawData[[#This Row],[Comments]]&amp;" "&amp;RawData[[#This Row],[Customer Requirement]]))),ISNUMBER(SEARCH("purpose",LOWER(RawData[[#This Row],[Comments]]&amp;" "&amp;RawData[[#This Row],[Customer Requirement]]))),ISNUMBER(SEARCH("dimension",LOWER(RawData[[#This Row],[Comments]]&amp;" "&amp;RawData[[#This Row],[Customer Requirement]]))),ISNUMBER(SEARCH("sqft",LOWER(RawData[[#This Row],[Comments]]&amp;" "&amp;RawData[[#This Row],[Customer Requirement]]))))))+--(AND(ISNUMBER(RawData[[#This Row],[Next Followup Date]]),RawData[[#This Row],[Next Followup Date]]&lt;NOW(),OR(LOWER(TRIM(RawData[[#This Row],[Lead Status]]))="hot",LOWER(TRIM(RawData[[#This Row],[Lead Status]]))="prospect",LOWER(TRIM(RawData[[#This Row],[Lead Status]]))="warm")))+--(AND(LOWER(TRIM(RawData[[#This Row],[Location]]))="anekal",OR(ISNUMBER(SEARCH("ernika",LOWER(RawData[[#This Row],[Project Name]]))),ISNUMBER(SEARCH("enrika",LOWER(RawData[[#This Row],[Project Name]]))),ISNUMBER(SEARCH("exotica",LOWER(RawData[[#This Row],[Project Name]]))),ISNUMBER(SEARCH(" eka",LOWER(RawData[[#This Row],[Project Name]])))))))</f>
        <v>1</v>
      </c>
    </row>
    <row r="38" spans="1:21" x14ac:dyDescent="0.25">
      <c r="F38"/>
      <c r="M38"/>
      <c r="N38"/>
      <c r="O38"/>
      <c r="P38"/>
    </row>
    <row r="39" spans="1:21" x14ac:dyDescent="0.25">
      <c r="F39"/>
      <c r="M39"/>
      <c r="N39"/>
      <c r="O39"/>
      <c r="P39"/>
    </row>
    <row r="40" spans="1:21" x14ac:dyDescent="0.25">
      <c r="F40"/>
      <c r="M40"/>
      <c r="N40"/>
      <c r="O40"/>
      <c r="P40"/>
    </row>
    <row r="41" spans="1:21" x14ac:dyDescent="0.25">
      <c r="F41"/>
      <c r="M41"/>
      <c r="N41"/>
      <c r="O41"/>
      <c r="P41"/>
    </row>
    <row r="42" spans="1:21" x14ac:dyDescent="0.25">
      <c r="F42"/>
      <c r="M42"/>
      <c r="N42"/>
      <c r="O42"/>
      <c r="P42"/>
    </row>
    <row r="43" spans="1:21" x14ac:dyDescent="0.25">
      <c r="F43"/>
      <c r="M43"/>
      <c r="N43"/>
      <c r="O43"/>
      <c r="P43"/>
    </row>
    <row r="44" spans="1:21" x14ac:dyDescent="0.25">
      <c r="F44"/>
      <c r="M44"/>
      <c r="N44"/>
      <c r="O44"/>
      <c r="P44"/>
    </row>
    <row r="45" spans="1:21" x14ac:dyDescent="0.25">
      <c r="F45"/>
      <c r="M45"/>
      <c r="N45"/>
      <c r="O45"/>
      <c r="P45"/>
    </row>
    <row r="46" spans="1:21" x14ac:dyDescent="0.25">
      <c r="F46"/>
      <c r="M46"/>
      <c r="N46"/>
      <c r="O46"/>
      <c r="P46"/>
    </row>
    <row r="47" spans="1:21" x14ac:dyDescent="0.25">
      <c r="F47"/>
      <c r="M47"/>
      <c r="N47"/>
      <c r="O47"/>
      <c r="P47"/>
    </row>
    <row r="48" spans="1:21" x14ac:dyDescent="0.25">
      <c r="F48"/>
      <c r="M48"/>
      <c r="N48"/>
      <c r="O48"/>
      <c r="P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5951-C959-4531-A6DD-3B8374B49C87}">
  <dimension ref="A1:H15"/>
  <sheetViews>
    <sheetView workbookViewId="0">
      <pane ySplit="2" topLeftCell="A3" activePane="bottomLeft" state="frozen"/>
      <selection pane="bottomLeft" activeCell="A5" sqref="A5:B6"/>
    </sheetView>
  </sheetViews>
  <sheetFormatPr defaultRowHeight="15.75" x14ac:dyDescent="0.25"/>
  <cols>
    <col min="1" max="1" width="25.375" customWidth="1"/>
    <col min="2" max="8" width="14.125" customWidth="1"/>
  </cols>
  <sheetData>
    <row r="1" spans="1:8" ht="23.25" x14ac:dyDescent="0.35">
      <c r="A1" s="16" t="s">
        <v>99</v>
      </c>
      <c r="B1" s="16"/>
      <c r="C1" s="16"/>
      <c r="D1" s="16"/>
      <c r="E1" s="16"/>
      <c r="F1" s="16"/>
      <c r="G1" s="16"/>
      <c r="H1" s="16"/>
    </row>
    <row r="2" spans="1:8" x14ac:dyDescent="0.25">
      <c r="A2" s="17" t="s">
        <v>107</v>
      </c>
      <c r="B2" s="17"/>
      <c r="C2" s="17"/>
      <c r="D2" s="17"/>
      <c r="E2" s="17"/>
      <c r="F2" s="17"/>
      <c r="G2" s="17"/>
      <c r="H2" s="17"/>
    </row>
    <row r="4" spans="1:8" x14ac:dyDescent="0.25">
      <c r="A4" s="19" t="s">
        <v>108</v>
      </c>
      <c r="B4" s="19"/>
      <c r="C4" s="21" t="s">
        <v>109</v>
      </c>
      <c r="D4" s="21"/>
      <c r="E4" s="23" t="s">
        <v>110</v>
      </c>
      <c r="F4" s="23"/>
      <c r="G4" s="21" t="s">
        <v>111</v>
      </c>
      <c r="H4" s="21"/>
    </row>
    <row r="5" spans="1:8" x14ac:dyDescent="0.25">
      <c r="A5" s="20" t="str">
        <f>IFERROR(TEXT(MIN(RawData[Lead Registration Date]),"dd-mmm-yyyy")&amp;" to "&amp;TEXT(MAX(RawData[Lead Registration Date]),"dd-mmm-yyyy"),"No data")</f>
        <v>19-Aug-2026 to 20-Aug-2026</v>
      </c>
      <c r="B5" s="20"/>
      <c r="C5" s="22">
        <f>COUNTIF(RawData[Mobile],"&lt;&gt;")</f>
        <v>36</v>
      </c>
      <c r="D5" s="22"/>
      <c r="E5" s="24">
        <f ca="1">SUMPRODUCT(RawData[Error Flag])</f>
        <v>27</v>
      </c>
      <c r="F5" s="25"/>
      <c r="G5" s="26">
        <f ca="1">IFERROR(MAX(0,1-E5/C5),0)</f>
        <v>0.25</v>
      </c>
      <c r="H5" s="22"/>
    </row>
    <row r="6" spans="1:8" x14ac:dyDescent="0.25">
      <c r="A6" s="20"/>
      <c r="B6" s="20"/>
      <c r="C6" s="22"/>
      <c r="D6" s="22"/>
      <c r="E6" s="25"/>
      <c r="F6" s="25"/>
      <c r="G6" s="22"/>
      <c r="H6" s="22"/>
    </row>
    <row r="8" spans="1:8" x14ac:dyDescent="0.25">
      <c r="A8" s="27" t="s">
        <v>112</v>
      </c>
      <c r="B8" s="27"/>
      <c r="C8" s="23" t="s">
        <v>113</v>
      </c>
      <c r="D8" s="23"/>
      <c r="E8" s="21" t="s">
        <v>114</v>
      </c>
      <c r="F8" s="21"/>
      <c r="G8" s="27" t="s">
        <v>115</v>
      </c>
      <c r="H8" s="27"/>
    </row>
    <row r="9" spans="1:8" x14ac:dyDescent="0.25">
      <c r="A9" s="28" cm="1">
        <f t="array" aca="1" ref="A9" ca="1">SUMPRODUCT(--ISNUMBER(SEARCH("Wrong Lead Status",RawData[Error Type])))+SUMPRODUCT(--ISNUMBER(SEARCH("RNR Classification Error",RawData[Error Type])))+SUMPRODUCT(--ISNUMBER(SEARCH("Follow-up Error",RawData[Error Type])))</f>
        <v>8</v>
      </c>
      <c r="B9" s="28"/>
      <c r="C9" s="25" cm="1">
        <f t="array" aca="1" ref="C9" ca="1">SUMPRODUCT(--ISNUMBER(SEARCH("Warm Status Mismatch",RawData[Error Type])))+SUMPRODUCT(--ISNUMBER(SEARCH("CRM Status Mismatch",RawData[Error Type])))+SUMPRODUCT(--ISNUMBER(SEARCH("Customer Location Not Captured",RawData[Error Type])))</f>
        <v>19</v>
      </c>
      <c r="D9" s="25"/>
      <c r="E9" s="30" t="str">
        <f ca="1">IFERROR(INDEX('Telecaller Performance'!A6:A105,MATCH(MAX('Telecaller Performance'!E6:E105),'Telecaller Performance'!E6:E105,0)),"N/A")</f>
        <v>Prathima Hegde</v>
      </c>
      <c r="F9" s="22"/>
      <c r="G9" s="28" t="str">
        <f ca="1">IFERROR(INDEX('Telecaller Performance'!A6:A105,MATCH(_xlfn.MINIFS('Telecaller Performance'!E6:E105,'Telecaller Performance'!A6:A105,"&lt;&gt;"),'Telecaller Performance'!E6:E105,0)),"N/A")</f>
        <v>Manoj Vs 1</v>
      </c>
      <c r="H9" s="28"/>
    </row>
    <row r="10" spans="1:8" x14ac:dyDescent="0.25">
      <c r="A10" s="28"/>
      <c r="B10" s="28"/>
      <c r="C10" s="25"/>
      <c r="D10" s="25"/>
      <c r="E10" s="22"/>
      <c r="F10" s="22"/>
      <c r="G10" s="28"/>
      <c r="H10" s="28"/>
    </row>
    <row r="12" spans="1:8" x14ac:dyDescent="0.25">
      <c r="A12" s="12" t="s">
        <v>116</v>
      </c>
      <c r="B12" s="12"/>
      <c r="C12" s="12"/>
      <c r="D12" s="12"/>
      <c r="E12" s="12"/>
      <c r="F12" s="12"/>
      <c r="G12" s="12"/>
      <c r="H12" s="12"/>
    </row>
    <row r="13" spans="1:8" ht="27.95" customHeight="1" x14ac:dyDescent="0.25">
      <c r="A13" s="29" t="str">
        <f ca="1">"The audit covers "&amp;TEXT(C5,"#,##0")&amp;" leads with "&amp;TEXT(E5,"#,##0")&amp;" errors, producing "&amp;TEXT(G5,"0.0%")&amp;" overall accuracy. "&amp;TEXT(A9,"#,##0")&amp;" critical records need immediate correction, while "&amp;TEXT(C9,"#,##0")&amp;" medium-severity records are coaching opportunities. The top performer is "&amp;E9&amp;"; management attention should begin with "&amp;G9&amp;"."</f>
        <v>The audit covers 36 leads with 27 errors, producing 25.0% overall accuracy. 8 critical records need immediate correction, while 19 medium-severity records are coaching opportunities. The top performer is Prathima Hegde; management attention should begin with Manoj Vs 1.</v>
      </c>
      <c r="B13" s="29"/>
      <c r="C13" s="29"/>
      <c r="D13" s="29"/>
      <c r="E13" s="29"/>
      <c r="F13" s="29"/>
      <c r="G13" s="29"/>
      <c r="H13" s="29"/>
    </row>
    <row r="14" spans="1:8" ht="27.95" customHeight="1" x14ac:dyDescent="0.25">
      <c r="A14" s="29"/>
      <c r="B14" s="29"/>
      <c r="C14" s="29"/>
      <c r="D14" s="29"/>
      <c r="E14" s="29"/>
      <c r="F14" s="29"/>
      <c r="G14" s="29"/>
      <c r="H14" s="29"/>
    </row>
    <row r="15" spans="1:8" ht="27.95" customHeight="1" x14ac:dyDescent="0.25">
      <c r="A15" s="29"/>
      <c r="B15" s="29"/>
      <c r="C15" s="29"/>
      <c r="D15" s="29"/>
      <c r="E15" s="29"/>
      <c r="F15" s="29"/>
      <c r="G15" s="29"/>
      <c r="H15" s="29"/>
    </row>
  </sheetData>
  <mergeCells count="20">
    <mergeCell ref="G8:H8"/>
    <mergeCell ref="G9:H10"/>
    <mergeCell ref="A12:H12"/>
    <mergeCell ref="A13:H15"/>
    <mergeCell ref="A8:B8"/>
    <mergeCell ref="A9:B10"/>
    <mergeCell ref="C8:D8"/>
    <mergeCell ref="C9:D10"/>
    <mergeCell ref="E8:F8"/>
    <mergeCell ref="E9:F10"/>
    <mergeCell ref="A1:H1"/>
    <mergeCell ref="A2:H2"/>
    <mergeCell ref="A4:B4"/>
    <mergeCell ref="A5:B6"/>
    <mergeCell ref="C4:D4"/>
    <mergeCell ref="C5:D6"/>
    <mergeCell ref="E4:F4"/>
    <mergeCell ref="E5:F6"/>
    <mergeCell ref="G4:H4"/>
    <mergeCell ref="G5: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69C3-FA3D-4053-B770-696768808B98}">
  <dimension ref="A1:H105"/>
  <sheetViews>
    <sheetView workbookViewId="0">
      <pane ySplit="5" topLeftCell="A6" activePane="bottomLeft" state="frozen"/>
      <selection pane="bottomLeft" activeCell="J16" sqref="J16"/>
    </sheetView>
  </sheetViews>
  <sheetFormatPr defaultRowHeight="15.75" x14ac:dyDescent="0.25"/>
  <cols>
    <col min="1" max="1" width="18.625" bestFit="1" customWidth="1"/>
    <col min="2" max="2" width="17.125" bestFit="1" customWidth="1"/>
    <col min="3" max="3" width="18.5" bestFit="1" customWidth="1"/>
    <col min="4" max="4" width="14.875" bestFit="1" customWidth="1"/>
    <col min="5" max="5" width="14.625" bestFit="1" customWidth="1"/>
    <col min="6" max="6" width="10.375" bestFit="1" customWidth="1"/>
    <col min="7" max="7" width="16.375" bestFit="1" customWidth="1"/>
    <col min="8" max="8" width="17.75" bestFit="1" customWidth="1"/>
  </cols>
  <sheetData>
    <row r="1" spans="1:8" ht="23.25" x14ac:dyDescent="0.35">
      <c r="A1" s="16" t="s">
        <v>101</v>
      </c>
      <c r="B1" s="16"/>
      <c r="C1" s="16"/>
      <c r="D1" s="16"/>
      <c r="E1" s="16"/>
      <c r="F1" s="16"/>
      <c r="G1" s="16"/>
      <c r="H1" s="16"/>
    </row>
    <row r="2" spans="1:8" x14ac:dyDescent="0.25">
      <c r="A2" s="17" t="s">
        <v>145</v>
      </c>
      <c r="B2" s="17"/>
      <c r="C2" s="17"/>
      <c r="D2" s="17"/>
      <c r="E2" s="17"/>
      <c r="F2" s="17"/>
      <c r="G2" s="17"/>
      <c r="H2" s="17"/>
    </row>
    <row r="4" spans="1:8" x14ac:dyDescent="0.25">
      <c r="A4" s="12" t="s">
        <v>117</v>
      </c>
      <c r="B4" s="12"/>
      <c r="C4" s="12"/>
      <c r="D4" s="12"/>
      <c r="E4" s="12"/>
      <c r="F4" s="12"/>
      <c r="G4" s="12"/>
      <c r="H4" s="12"/>
    </row>
    <row r="5" spans="1:8" x14ac:dyDescent="0.25">
      <c r="A5" s="7" t="s">
        <v>1</v>
      </c>
      <c r="B5" s="7" t="s">
        <v>118</v>
      </c>
      <c r="C5" s="7" t="s">
        <v>119</v>
      </c>
      <c r="D5" s="7" t="s">
        <v>110</v>
      </c>
      <c r="E5" s="7" t="s">
        <v>120</v>
      </c>
      <c r="F5" s="7" t="s">
        <v>121</v>
      </c>
      <c r="G5" s="7" t="s">
        <v>112</v>
      </c>
      <c r="H5" s="7" t="s">
        <v>113</v>
      </c>
    </row>
    <row r="6" spans="1:8" x14ac:dyDescent="0.25">
      <c r="A6" t="str" cm="1">
        <f t="array" aca="1" ref="A6" ca="1">IFERROR(_xlfn.LET(_xlpm.n,_xlfn.UNIQUE(_xlfn._xlws.FILTER(RawData[Telecaller Name],RawData[Telecaller Name]&lt;&gt;"")),_xlpm.a,1-COUNTIFS(RawData[Telecaller Name],_xlpm.n,RawData[Error Flag],1)/COUNTIF(RawData[Telecaller Name],_xlpm.n),INDEX(_xlfn.SORTBY(_xlpm.n,_xlpm.a,-1),ROWS(A$6:A6))),"")</f>
        <v>Prathima Hegde</v>
      </c>
      <c r="B6">
        <f ca="1">IF(A6="","",COUNTIF(RawData[Telecaller Name],A6))</f>
        <v>1</v>
      </c>
      <c r="C6">
        <f ca="1">IF(A6="","",MAX(0,B6-COUNTIFS(RawData[Telecaller Name],A6,RawData[Error Flag],"&gt;0")))</f>
        <v>1</v>
      </c>
      <c r="D6">
        <f ca="1">IF(A6="","",SUMIFS(RawData[Error Flag],RawData[Telecaller Name],A6))</f>
        <v>0</v>
      </c>
      <c r="E6" s="9">
        <f t="shared" ref="E6:E69" ca="1" si="0">IF(A6="","",MAX(0,1-D6/B6))</f>
        <v>1</v>
      </c>
      <c r="F6" t="str">
        <f ca="1">IF(A6="","",IF(E6&gt;=0.95,"★★★★★",IF(E6&gt;=0.9,"★★★★☆",IF(E6&gt;=0.8,"★★★☆☆",IF(E6&gt;=0.7,"★★☆☆☆","★☆☆☆☆")))))</f>
        <v>★★★★★</v>
      </c>
      <c r="G6" cm="1">
        <f t="array" aca="1" ref="G6" ca="1">IF(A6="","",SUMPRODUCT(--(RawData[Telecaller Name]=A6),--(ISNUMBER(SEARCH("Wrong Lead Status",RawData[Error Type]))+ISNUMBER(SEARCH("RNR Classification Error",RawData[Error Type]))+ISNUMBER(SEARCH("Follow-up Error",RawData[Error Type]))&gt;0)))</f>
        <v>0</v>
      </c>
      <c r="H6" cm="1">
        <f t="array" aca="1" ref="H6" ca="1">IF(A6="","",SUMPRODUCT(--(RawData[Telecaller Name]=A6),--ISNUMBER(SEARCH("Warm Status Mismatch",RawData[Error Type])))+SUMPRODUCT(--(RawData[Telecaller Name]=A6),--ISNUMBER(SEARCH("CRM Status Mismatch",RawData[Error Type])))+SUMPRODUCT(--(RawData[Telecaller Name]=A6),--ISNUMBER(SEARCH("Customer Location Not Captured",RawData[Error Type]))))</f>
        <v>0</v>
      </c>
    </row>
    <row r="7" spans="1:8" x14ac:dyDescent="0.25">
      <c r="A7" t="str" cm="1">
        <f t="array" aca="1" ref="A7" ca="1">IFERROR(_xlfn.LET(_xlpm.n,_xlfn.UNIQUE(_xlfn._xlws.FILTER(RawData[Telecaller Name],RawData[Telecaller Name]&lt;&gt;"")),_xlpm.a,1-COUNTIFS(RawData[Telecaller Name],_xlpm.n,RawData[Error Flag],1)/COUNTIF(RawData[Telecaller Name],_xlpm.n),INDEX(_xlfn.SORTBY(_xlpm.n,_xlpm.a,-1),ROWS(A$6:A7))),"")</f>
        <v>Vinutha M1</v>
      </c>
      <c r="B7">
        <f ca="1">IF(A7="","",COUNTIF(RawData[Telecaller Name],A7))</f>
        <v>28</v>
      </c>
      <c r="C7">
        <f ca="1">IF(A7="","",MAX(0,B7-COUNTIFS(RawData[Telecaller Name],A7,RawData[Error Flag],"&gt;0")))</f>
        <v>10</v>
      </c>
      <c r="D7">
        <f ca="1">IF(A7="","",SUMIFS(RawData[Error Flag],RawData[Telecaller Name],A7))</f>
        <v>22</v>
      </c>
      <c r="E7" s="9">
        <f t="shared" ca="1" si="0"/>
        <v>0.2142857142857143</v>
      </c>
      <c r="F7" t="str">
        <f t="shared" ref="F7:F70" ca="1" si="1">IF(A7="","",IF(E7&gt;=0.95,"★★★★★",IF(E7&gt;=0.9,"★★★★☆",IF(E7&gt;=0.8,"★★★☆☆",IF(E7&gt;=0.7,"★★☆☆☆","★☆☆☆☆")))))</f>
        <v>★☆☆☆☆</v>
      </c>
      <c r="G7" cm="1">
        <f t="array" aca="1" ref="G7" ca="1">IF(A7="","",SUMPRODUCT(--(RawData[Telecaller Name]=A7),--(ISNUMBER(SEARCH("Wrong Lead Status",RawData[Error Type]))+ISNUMBER(SEARCH("RNR Classification Error",RawData[Error Type]))+ISNUMBER(SEARCH("Follow-up Error",RawData[Error Type]))&gt;0)))</f>
        <v>3</v>
      </c>
      <c r="H7" cm="1">
        <f t="array" aca="1" ref="H7" ca="1">IF(A7="","",SUMPRODUCT(--(RawData[Telecaller Name]=A7),--ISNUMBER(SEARCH("Warm Status Mismatch",RawData[Error Type])))+SUMPRODUCT(--(RawData[Telecaller Name]=A7),--ISNUMBER(SEARCH("CRM Status Mismatch",RawData[Error Type])))+SUMPRODUCT(--(RawData[Telecaller Name]=A7),--ISNUMBER(SEARCH("Customer Location Not Captured",RawData[Error Type]))))</f>
        <v>19</v>
      </c>
    </row>
    <row r="8" spans="1:8" x14ac:dyDescent="0.25">
      <c r="A8" t="str" cm="1">
        <f t="array" aca="1" ref="A8" ca="1">IFERROR(_xlfn.LET(_xlpm.n,_xlfn.UNIQUE(_xlfn._xlws.FILTER(RawData[Telecaller Name],RawData[Telecaller Name]&lt;&gt;"")),_xlpm.a,1-COUNTIFS(RawData[Telecaller Name],_xlpm.n,RawData[Error Flag],1)/COUNTIF(RawData[Telecaller Name],_xlpm.n),INDEX(_xlfn.SORTBY(_xlpm.n,_xlpm.a,-1),ROWS(A$6:A8))),"")</f>
        <v>Amulya P</v>
      </c>
      <c r="B8">
        <f ca="1">IF(A8="","",COUNTIF(RawData[Telecaller Name],A8))</f>
        <v>4</v>
      </c>
      <c r="C8">
        <f ca="1">IF(A8="","",MAX(0,B8-COUNTIFS(RawData[Telecaller Name],A8,RawData[Error Flag],"&gt;0")))</f>
        <v>2</v>
      </c>
      <c r="D8">
        <f ca="1">IF(A8="","",SUMIFS(RawData[Error Flag],RawData[Telecaller Name],A8))</f>
        <v>2</v>
      </c>
      <c r="E8" s="9">
        <f t="shared" ca="1" si="0"/>
        <v>0.5</v>
      </c>
      <c r="F8" t="str">
        <f t="shared" ca="1" si="1"/>
        <v>★☆☆☆☆</v>
      </c>
      <c r="G8" cm="1">
        <f t="array" aca="1" ref="G8" ca="1">IF(A8="","",SUMPRODUCT(--(RawData[Telecaller Name]=A8),--(ISNUMBER(SEARCH("Wrong Lead Status",RawData[Error Type]))+ISNUMBER(SEARCH("RNR Classification Error",RawData[Error Type]))+ISNUMBER(SEARCH("Follow-up Error",RawData[Error Type]))&gt;0)))</f>
        <v>2</v>
      </c>
      <c r="H8" cm="1">
        <f t="array" aca="1" ref="H8" ca="1">IF(A8="","",SUMPRODUCT(--(RawData[Telecaller Name]=A8),--ISNUMBER(SEARCH("Warm Status Mismatch",RawData[Error Type])))+SUMPRODUCT(--(RawData[Telecaller Name]=A8),--ISNUMBER(SEARCH("CRM Status Mismatch",RawData[Error Type])))+SUMPRODUCT(--(RawData[Telecaller Name]=A8),--ISNUMBER(SEARCH("Customer Location Not Captured",RawData[Error Type]))))</f>
        <v>0</v>
      </c>
    </row>
    <row r="9" spans="1:8" x14ac:dyDescent="0.25">
      <c r="A9" t="str" cm="1">
        <f t="array" aca="1" ref="A9" ca="1">IFERROR(_xlfn.LET(_xlpm.n,_xlfn.UNIQUE(_xlfn._xlws.FILTER(RawData[Telecaller Name],RawData[Telecaller Name]&lt;&gt;"")),_xlpm.a,1-COUNTIFS(RawData[Telecaller Name],_xlpm.n,RawData[Error Flag],1)/COUNTIF(RawData[Telecaller Name],_xlpm.n),INDEX(_xlfn.SORTBY(_xlpm.n,_xlpm.a,-1),ROWS(A$6:A9))),"")</f>
        <v>Manoj Vs 1</v>
      </c>
      <c r="B9">
        <f ca="1">IF(A9="","",COUNTIF(RawData[Telecaller Name],A9))</f>
        <v>3</v>
      </c>
      <c r="C9">
        <f ca="1">IF(A9="","",MAX(0,B9-COUNTIFS(RawData[Telecaller Name],A9,RawData[Error Flag],"&gt;0")))</f>
        <v>0</v>
      </c>
      <c r="D9">
        <f ca="1">IF(A9="","",SUMIFS(RawData[Error Flag],RawData[Telecaller Name],A9))</f>
        <v>3</v>
      </c>
      <c r="E9" s="9">
        <f t="shared" ca="1" si="0"/>
        <v>0</v>
      </c>
      <c r="F9" t="str">
        <f t="shared" ca="1" si="1"/>
        <v>★☆☆☆☆</v>
      </c>
      <c r="G9" cm="1">
        <f t="array" aca="1" ref="G9" ca="1">IF(A9="","",SUMPRODUCT(--(RawData[Telecaller Name]=A9),--(ISNUMBER(SEARCH("Wrong Lead Status",RawData[Error Type]))+ISNUMBER(SEARCH("RNR Classification Error",RawData[Error Type]))+ISNUMBER(SEARCH("Follow-up Error",RawData[Error Type]))&gt;0)))</f>
        <v>3</v>
      </c>
      <c r="H9" cm="1">
        <f t="array" aca="1" ref="H9" ca="1">IF(A9="","",SUMPRODUCT(--(RawData[Telecaller Name]=A9),--ISNUMBER(SEARCH("Warm Status Mismatch",RawData[Error Type])))+SUMPRODUCT(--(RawData[Telecaller Name]=A9),--ISNUMBER(SEARCH("CRM Status Mismatch",RawData[Error Type])))+SUMPRODUCT(--(RawData[Telecaller Name]=A9),--ISNUMBER(SEARCH("Customer Location Not Captured",RawData[Error Type]))))</f>
        <v>0</v>
      </c>
    </row>
    <row r="10" spans="1:8" x14ac:dyDescent="0.25">
      <c r="A10" t="str" cm="1">
        <f t="array" aca="1" ref="A10" ca="1">IFERROR(_xlfn.LET(_xlpm.n,_xlfn.UNIQUE(_xlfn._xlws.FILTER(RawData[Telecaller Name],RawData[Telecaller Name]&lt;&gt;"")),_xlpm.a,1-COUNTIFS(RawData[Telecaller Name],_xlpm.n,RawData[Error Flag],1)/COUNTIF(RawData[Telecaller Name],_xlpm.n),INDEX(_xlfn.SORTBY(_xlpm.n,_xlpm.a,-1),ROWS(A$6:A10))),"")</f>
        <v/>
      </c>
      <c r="B10" t="str">
        <f ca="1">IF(A10="","",COUNTIF(RawData[Telecaller Name],A10))</f>
        <v/>
      </c>
      <c r="C10" t="str">
        <f ca="1">IF(A10="","",MAX(0,B10-COUNTIFS(RawData[Telecaller Name],A10,RawData[Error Flag],"&gt;0")))</f>
        <v/>
      </c>
      <c r="D10" t="str">
        <f ca="1">IF(A10="","",SUMIFS(RawData[Error Flag],RawData[Telecaller Name],A10))</f>
        <v/>
      </c>
      <c r="E10" s="9" t="str">
        <f t="shared" ca="1" si="0"/>
        <v/>
      </c>
      <c r="F10" t="str">
        <f t="shared" ca="1" si="1"/>
        <v/>
      </c>
      <c r="G10" t="str" cm="1">
        <f t="array" aca="1" ref="G10" ca="1">IF(A10="","",SUMPRODUCT(--(RawData[Telecaller Name]=A10),--(ISNUMBER(SEARCH("Wrong Lead Status",RawData[Error Type]))+ISNUMBER(SEARCH("RNR Classification Error",RawData[Error Type]))+ISNUMBER(SEARCH("Follow-up Error",RawData[Error Type]))&gt;0)))</f>
        <v/>
      </c>
      <c r="H10" t="str" cm="1">
        <f t="array" aca="1" ref="H10" ca="1">IF(A10="","",SUMPRODUCT(--(RawData[Telecaller Name]=A10),--ISNUMBER(SEARCH("Warm Status Mismatch",RawData[Error Type])))+SUMPRODUCT(--(RawData[Telecaller Name]=A10),--ISNUMBER(SEARCH("CRM Status Mismatch",RawData[Error Type])))+SUMPRODUCT(--(RawData[Telecaller Name]=A10),--ISNUMBER(SEARCH("Customer Location Not Captured",RawData[Error Type]))))</f>
        <v/>
      </c>
    </row>
    <row r="11" spans="1:8" x14ac:dyDescent="0.25">
      <c r="A11" t="str" cm="1">
        <f t="array" aca="1" ref="A11" ca="1">IFERROR(_xlfn.LET(_xlpm.n,_xlfn.UNIQUE(_xlfn._xlws.FILTER(RawData[Telecaller Name],RawData[Telecaller Name]&lt;&gt;"")),_xlpm.a,1-COUNTIFS(RawData[Telecaller Name],_xlpm.n,RawData[Error Flag],1)/COUNTIF(RawData[Telecaller Name],_xlpm.n),INDEX(_xlfn.SORTBY(_xlpm.n,_xlpm.a,-1),ROWS(A$6:A11))),"")</f>
        <v/>
      </c>
      <c r="B11" t="str">
        <f ca="1">IF(A11="","",COUNTIF(RawData[Telecaller Name],A11))</f>
        <v/>
      </c>
      <c r="C11" t="str">
        <f ca="1">IF(A11="","",MAX(0,B11-COUNTIFS(RawData[Telecaller Name],A11,RawData[Error Flag],"&gt;0")))</f>
        <v/>
      </c>
      <c r="D11" t="str">
        <f ca="1">IF(A11="","",SUMIFS(RawData[Error Flag],RawData[Telecaller Name],A11))</f>
        <v/>
      </c>
      <c r="E11" s="9" t="str">
        <f t="shared" ca="1" si="0"/>
        <v/>
      </c>
      <c r="F11" t="str">
        <f t="shared" ca="1" si="1"/>
        <v/>
      </c>
      <c r="G11" t="str" cm="1">
        <f t="array" aca="1" ref="G11" ca="1">IF(A11="","",SUMPRODUCT(--(RawData[Telecaller Name]=A11),--(ISNUMBER(SEARCH("Wrong Lead Status",RawData[Error Type]))+ISNUMBER(SEARCH("RNR Classification Error",RawData[Error Type]))+ISNUMBER(SEARCH("Follow-up Error",RawData[Error Type]))&gt;0)))</f>
        <v/>
      </c>
      <c r="H11" t="str" cm="1">
        <f t="array" aca="1" ref="H11" ca="1">IF(A11="","",SUMPRODUCT(--(RawData[Telecaller Name]=A11),--ISNUMBER(SEARCH("Warm Status Mismatch",RawData[Error Type])))+SUMPRODUCT(--(RawData[Telecaller Name]=A11),--ISNUMBER(SEARCH("CRM Status Mismatch",RawData[Error Type])))+SUMPRODUCT(--(RawData[Telecaller Name]=A11),--ISNUMBER(SEARCH("Customer Location Not Captured",RawData[Error Type]))))</f>
        <v/>
      </c>
    </row>
    <row r="12" spans="1:8" x14ac:dyDescent="0.25">
      <c r="A12" t="str" cm="1">
        <f t="array" aca="1" ref="A12" ca="1">IFERROR(_xlfn.LET(_xlpm.n,_xlfn.UNIQUE(_xlfn._xlws.FILTER(RawData[Telecaller Name],RawData[Telecaller Name]&lt;&gt;"")),_xlpm.a,1-COUNTIFS(RawData[Telecaller Name],_xlpm.n,RawData[Error Flag],1)/COUNTIF(RawData[Telecaller Name],_xlpm.n),INDEX(_xlfn.SORTBY(_xlpm.n,_xlpm.a,-1),ROWS(A$6:A12))),"")</f>
        <v/>
      </c>
      <c r="B12" t="str">
        <f ca="1">IF(A12="","",COUNTIF(RawData[Telecaller Name],A12))</f>
        <v/>
      </c>
      <c r="C12" t="str">
        <f ca="1">IF(A12="","",MAX(0,B12-COUNTIFS(RawData[Telecaller Name],A12,RawData[Error Flag],"&gt;0")))</f>
        <v/>
      </c>
      <c r="D12" t="str">
        <f ca="1">IF(A12="","",SUMIFS(RawData[Error Flag],RawData[Telecaller Name],A12))</f>
        <v/>
      </c>
      <c r="E12" s="9" t="str">
        <f t="shared" ca="1" si="0"/>
        <v/>
      </c>
      <c r="F12" t="str">
        <f t="shared" ca="1" si="1"/>
        <v/>
      </c>
      <c r="G12" t="str" cm="1">
        <f t="array" aca="1" ref="G12" ca="1">IF(A12="","",SUMPRODUCT(--(RawData[Telecaller Name]=A12),--(ISNUMBER(SEARCH("Wrong Lead Status",RawData[Error Type]))+ISNUMBER(SEARCH("RNR Classification Error",RawData[Error Type]))+ISNUMBER(SEARCH("Follow-up Error",RawData[Error Type]))&gt;0)))</f>
        <v/>
      </c>
      <c r="H12" t="str" cm="1">
        <f t="array" aca="1" ref="H12" ca="1">IF(A12="","",SUMPRODUCT(--(RawData[Telecaller Name]=A12),--ISNUMBER(SEARCH("Warm Status Mismatch",RawData[Error Type])))+SUMPRODUCT(--(RawData[Telecaller Name]=A12),--ISNUMBER(SEARCH("CRM Status Mismatch",RawData[Error Type])))+SUMPRODUCT(--(RawData[Telecaller Name]=A12),--ISNUMBER(SEARCH("Customer Location Not Captured",RawData[Error Type]))))</f>
        <v/>
      </c>
    </row>
    <row r="13" spans="1:8" x14ac:dyDescent="0.25">
      <c r="A13" t="str" cm="1">
        <f t="array" aca="1" ref="A13" ca="1">IFERROR(_xlfn.LET(_xlpm.n,_xlfn.UNIQUE(_xlfn._xlws.FILTER(RawData[Telecaller Name],RawData[Telecaller Name]&lt;&gt;"")),_xlpm.a,1-COUNTIFS(RawData[Telecaller Name],_xlpm.n,RawData[Error Flag],1)/COUNTIF(RawData[Telecaller Name],_xlpm.n),INDEX(_xlfn.SORTBY(_xlpm.n,_xlpm.a,-1),ROWS(A$6:A13))),"")</f>
        <v/>
      </c>
      <c r="B13" t="str">
        <f ca="1">IF(A13="","",COUNTIF(RawData[Telecaller Name],A13))</f>
        <v/>
      </c>
      <c r="C13" t="str">
        <f ca="1">IF(A13="","",MAX(0,B13-COUNTIFS(RawData[Telecaller Name],A13,RawData[Error Flag],"&gt;0")))</f>
        <v/>
      </c>
      <c r="D13" t="str">
        <f ca="1">IF(A13="","",SUMIFS(RawData[Error Flag],RawData[Telecaller Name],A13))</f>
        <v/>
      </c>
      <c r="E13" s="9" t="str">
        <f t="shared" ca="1" si="0"/>
        <v/>
      </c>
      <c r="F13" t="str">
        <f t="shared" ca="1" si="1"/>
        <v/>
      </c>
      <c r="G13" t="str" cm="1">
        <f t="array" aca="1" ref="G13" ca="1">IF(A13="","",SUMPRODUCT(--(RawData[Telecaller Name]=A13),--(ISNUMBER(SEARCH("Wrong Lead Status",RawData[Error Type]))+ISNUMBER(SEARCH("RNR Classification Error",RawData[Error Type]))+ISNUMBER(SEARCH("Follow-up Error",RawData[Error Type]))&gt;0)))</f>
        <v/>
      </c>
      <c r="H13" t="str" cm="1">
        <f t="array" aca="1" ref="H13" ca="1">IF(A13="","",SUMPRODUCT(--(RawData[Telecaller Name]=A13),--ISNUMBER(SEARCH("Warm Status Mismatch",RawData[Error Type])))+SUMPRODUCT(--(RawData[Telecaller Name]=A13),--ISNUMBER(SEARCH("CRM Status Mismatch",RawData[Error Type])))+SUMPRODUCT(--(RawData[Telecaller Name]=A13),--ISNUMBER(SEARCH("Customer Location Not Captured",RawData[Error Type]))))</f>
        <v/>
      </c>
    </row>
    <row r="14" spans="1:8" x14ac:dyDescent="0.25">
      <c r="A14" t="str" cm="1">
        <f t="array" aca="1" ref="A14" ca="1">IFERROR(_xlfn.LET(_xlpm.n,_xlfn.UNIQUE(_xlfn._xlws.FILTER(RawData[Telecaller Name],RawData[Telecaller Name]&lt;&gt;"")),_xlpm.a,1-COUNTIFS(RawData[Telecaller Name],_xlpm.n,RawData[Error Flag],1)/COUNTIF(RawData[Telecaller Name],_xlpm.n),INDEX(_xlfn.SORTBY(_xlpm.n,_xlpm.a,-1),ROWS(A$6:A14))),"")</f>
        <v/>
      </c>
      <c r="B14" t="str">
        <f ca="1">IF(A14="","",COUNTIF(RawData[Telecaller Name],A14))</f>
        <v/>
      </c>
      <c r="C14" t="str">
        <f ca="1">IF(A14="","",MAX(0,B14-COUNTIFS(RawData[Telecaller Name],A14,RawData[Error Flag],"&gt;0")))</f>
        <v/>
      </c>
      <c r="D14" t="str">
        <f ca="1">IF(A14="","",SUMIFS(RawData[Error Flag],RawData[Telecaller Name],A14))</f>
        <v/>
      </c>
      <c r="E14" s="9" t="str">
        <f t="shared" ca="1" si="0"/>
        <v/>
      </c>
      <c r="F14" t="str">
        <f t="shared" ca="1" si="1"/>
        <v/>
      </c>
      <c r="G14" t="str" cm="1">
        <f t="array" aca="1" ref="G14" ca="1">IF(A14="","",SUMPRODUCT(--(RawData[Telecaller Name]=A14),--(ISNUMBER(SEARCH("Wrong Lead Status",RawData[Error Type]))+ISNUMBER(SEARCH("RNR Classification Error",RawData[Error Type]))+ISNUMBER(SEARCH("Follow-up Error",RawData[Error Type]))&gt;0)))</f>
        <v/>
      </c>
      <c r="H14" t="str" cm="1">
        <f t="array" aca="1" ref="H14" ca="1">IF(A14="","",SUMPRODUCT(--(RawData[Telecaller Name]=A14),--ISNUMBER(SEARCH("Warm Status Mismatch",RawData[Error Type])))+SUMPRODUCT(--(RawData[Telecaller Name]=A14),--ISNUMBER(SEARCH("CRM Status Mismatch",RawData[Error Type])))+SUMPRODUCT(--(RawData[Telecaller Name]=A14),--ISNUMBER(SEARCH("Customer Location Not Captured",RawData[Error Type]))))</f>
        <v/>
      </c>
    </row>
    <row r="15" spans="1:8" x14ac:dyDescent="0.25">
      <c r="A15" t="str" cm="1">
        <f t="array" aca="1" ref="A15" ca="1">IFERROR(_xlfn.LET(_xlpm.n,_xlfn.UNIQUE(_xlfn._xlws.FILTER(RawData[Telecaller Name],RawData[Telecaller Name]&lt;&gt;"")),_xlpm.a,1-COUNTIFS(RawData[Telecaller Name],_xlpm.n,RawData[Error Flag],1)/COUNTIF(RawData[Telecaller Name],_xlpm.n),INDEX(_xlfn.SORTBY(_xlpm.n,_xlpm.a,-1),ROWS(A$6:A15))),"")</f>
        <v/>
      </c>
      <c r="B15" t="str">
        <f ca="1">IF(A15="","",COUNTIF(RawData[Telecaller Name],A15))</f>
        <v/>
      </c>
      <c r="C15" t="str">
        <f ca="1">IF(A15="","",MAX(0,B15-COUNTIFS(RawData[Telecaller Name],A15,RawData[Error Flag],"&gt;0")))</f>
        <v/>
      </c>
      <c r="D15" t="str">
        <f ca="1">IF(A15="","",SUMIFS(RawData[Error Flag],RawData[Telecaller Name],A15))</f>
        <v/>
      </c>
      <c r="E15" s="9" t="str">
        <f t="shared" ca="1" si="0"/>
        <v/>
      </c>
      <c r="F15" t="str">
        <f t="shared" ca="1" si="1"/>
        <v/>
      </c>
      <c r="G15" t="str" cm="1">
        <f t="array" aca="1" ref="G15" ca="1">IF(A15="","",SUMPRODUCT(--(RawData[Telecaller Name]=A15),--(ISNUMBER(SEARCH("Wrong Lead Status",RawData[Error Type]))+ISNUMBER(SEARCH("RNR Classification Error",RawData[Error Type]))+ISNUMBER(SEARCH("Follow-up Error",RawData[Error Type]))&gt;0)))</f>
        <v/>
      </c>
      <c r="H15" t="str" cm="1">
        <f t="array" aca="1" ref="H15" ca="1">IF(A15="","",SUMPRODUCT(--(RawData[Telecaller Name]=A15),--ISNUMBER(SEARCH("Warm Status Mismatch",RawData[Error Type])))+SUMPRODUCT(--(RawData[Telecaller Name]=A15),--ISNUMBER(SEARCH("CRM Status Mismatch",RawData[Error Type])))+SUMPRODUCT(--(RawData[Telecaller Name]=A15),--ISNUMBER(SEARCH("Customer Location Not Captured",RawData[Error Type]))))</f>
        <v/>
      </c>
    </row>
    <row r="16" spans="1:8" x14ac:dyDescent="0.25">
      <c r="A16" t="str" cm="1">
        <f t="array" aca="1" ref="A16" ca="1">IFERROR(_xlfn.LET(_xlpm.n,_xlfn.UNIQUE(_xlfn._xlws.FILTER(RawData[Telecaller Name],RawData[Telecaller Name]&lt;&gt;"")),_xlpm.a,1-COUNTIFS(RawData[Telecaller Name],_xlpm.n,RawData[Error Flag],1)/COUNTIF(RawData[Telecaller Name],_xlpm.n),INDEX(_xlfn.SORTBY(_xlpm.n,_xlpm.a,-1),ROWS(A$6:A16))),"")</f>
        <v/>
      </c>
      <c r="B16" t="str">
        <f ca="1">IF(A16="","",COUNTIF(RawData[Telecaller Name],A16))</f>
        <v/>
      </c>
      <c r="C16" t="str">
        <f ca="1">IF(A16="","",MAX(0,B16-COUNTIFS(RawData[Telecaller Name],A16,RawData[Error Flag],"&gt;0")))</f>
        <v/>
      </c>
      <c r="D16" t="str">
        <f ca="1">IF(A16="","",SUMIFS(RawData[Error Flag],RawData[Telecaller Name],A16))</f>
        <v/>
      </c>
      <c r="E16" s="9" t="str">
        <f t="shared" ca="1" si="0"/>
        <v/>
      </c>
      <c r="F16" t="str">
        <f t="shared" ca="1" si="1"/>
        <v/>
      </c>
      <c r="G16" t="str" cm="1">
        <f t="array" aca="1" ref="G16" ca="1">IF(A16="","",SUMPRODUCT(--(RawData[Telecaller Name]=A16),--(ISNUMBER(SEARCH("Wrong Lead Status",RawData[Error Type]))+ISNUMBER(SEARCH("RNR Classification Error",RawData[Error Type]))+ISNUMBER(SEARCH("Follow-up Error",RawData[Error Type]))&gt;0)))</f>
        <v/>
      </c>
      <c r="H16" t="str" cm="1">
        <f t="array" aca="1" ref="H16" ca="1">IF(A16="","",SUMPRODUCT(--(RawData[Telecaller Name]=A16),--ISNUMBER(SEARCH("Warm Status Mismatch",RawData[Error Type])))+SUMPRODUCT(--(RawData[Telecaller Name]=A16),--ISNUMBER(SEARCH("CRM Status Mismatch",RawData[Error Type])))+SUMPRODUCT(--(RawData[Telecaller Name]=A16),--ISNUMBER(SEARCH("Customer Location Not Captured",RawData[Error Type]))))</f>
        <v/>
      </c>
    </row>
    <row r="17" spans="1:8" x14ac:dyDescent="0.25">
      <c r="A17" t="str" cm="1">
        <f t="array" aca="1" ref="A17" ca="1">IFERROR(_xlfn.LET(_xlpm.n,_xlfn.UNIQUE(_xlfn._xlws.FILTER(RawData[Telecaller Name],RawData[Telecaller Name]&lt;&gt;"")),_xlpm.a,1-COUNTIFS(RawData[Telecaller Name],_xlpm.n,RawData[Error Flag],1)/COUNTIF(RawData[Telecaller Name],_xlpm.n),INDEX(_xlfn.SORTBY(_xlpm.n,_xlpm.a,-1),ROWS(A$6:A17))),"")</f>
        <v/>
      </c>
      <c r="B17" t="str">
        <f ca="1">IF(A17="","",COUNTIF(RawData[Telecaller Name],A17))</f>
        <v/>
      </c>
      <c r="C17" t="str">
        <f ca="1">IF(A17="","",MAX(0,B17-COUNTIFS(RawData[Telecaller Name],A17,RawData[Error Flag],"&gt;0")))</f>
        <v/>
      </c>
      <c r="D17" t="str">
        <f ca="1">IF(A17="","",SUMIFS(RawData[Error Flag],RawData[Telecaller Name],A17))</f>
        <v/>
      </c>
      <c r="E17" s="9" t="str">
        <f t="shared" ca="1" si="0"/>
        <v/>
      </c>
      <c r="F17" t="str">
        <f t="shared" ca="1" si="1"/>
        <v/>
      </c>
      <c r="G17" t="str" cm="1">
        <f t="array" aca="1" ref="G17" ca="1">IF(A17="","",SUMPRODUCT(--(RawData[Telecaller Name]=A17),--(ISNUMBER(SEARCH("Wrong Lead Status",RawData[Error Type]))+ISNUMBER(SEARCH("RNR Classification Error",RawData[Error Type]))+ISNUMBER(SEARCH("Follow-up Error",RawData[Error Type]))&gt;0)))</f>
        <v/>
      </c>
      <c r="H17" t="str" cm="1">
        <f t="array" aca="1" ref="H17" ca="1">IF(A17="","",SUMPRODUCT(--(RawData[Telecaller Name]=A17),--ISNUMBER(SEARCH("Warm Status Mismatch",RawData[Error Type])))+SUMPRODUCT(--(RawData[Telecaller Name]=A17),--ISNUMBER(SEARCH("CRM Status Mismatch",RawData[Error Type])))+SUMPRODUCT(--(RawData[Telecaller Name]=A17),--ISNUMBER(SEARCH("Customer Location Not Captured",RawData[Error Type]))))</f>
        <v/>
      </c>
    </row>
    <row r="18" spans="1:8" x14ac:dyDescent="0.25">
      <c r="A18" t="str" cm="1">
        <f t="array" aca="1" ref="A18" ca="1">IFERROR(_xlfn.LET(_xlpm.n,_xlfn.UNIQUE(_xlfn._xlws.FILTER(RawData[Telecaller Name],RawData[Telecaller Name]&lt;&gt;"")),_xlpm.a,1-COUNTIFS(RawData[Telecaller Name],_xlpm.n,RawData[Error Flag],1)/COUNTIF(RawData[Telecaller Name],_xlpm.n),INDEX(_xlfn.SORTBY(_xlpm.n,_xlpm.a,-1),ROWS(A$6:A18))),"")</f>
        <v/>
      </c>
      <c r="B18" t="str">
        <f ca="1">IF(A18="","",COUNTIF(RawData[Telecaller Name],A18))</f>
        <v/>
      </c>
      <c r="C18" t="str">
        <f ca="1">IF(A18="","",MAX(0,B18-COUNTIFS(RawData[Telecaller Name],A18,RawData[Error Flag],"&gt;0")))</f>
        <v/>
      </c>
      <c r="D18" t="str">
        <f ca="1">IF(A18="","",SUMIFS(RawData[Error Flag],RawData[Telecaller Name],A18))</f>
        <v/>
      </c>
      <c r="E18" s="9" t="str">
        <f t="shared" ca="1" si="0"/>
        <v/>
      </c>
      <c r="F18" t="str">
        <f t="shared" ca="1" si="1"/>
        <v/>
      </c>
      <c r="G18" t="str" cm="1">
        <f t="array" aca="1" ref="G18" ca="1">IF(A18="","",SUMPRODUCT(--(RawData[Telecaller Name]=A18),--(ISNUMBER(SEARCH("Wrong Lead Status",RawData[Error Type]))+ISNUMBER(SEARCH("RNR Classification Error",RawData[Error Type]))+ISNUMBER(SEARCH("Follow-up Error",RawData[Error Type]))&gt;0)))</f>
        <v/>
      </c>
      <c r="H18" t="str" cm="1">
        <f t="array" aca="1" ref="H18" ca="1">IF(A18="","",SUMPRODUCT(--(RawData[Telecaller Name]=A18),--ISNUMBER(SEARCH("Warm Status Mismatch",RawData[Error Type])))+SUMPRODUCT(--(RawData[Telecaller Name]=A18),--ISNUMBER(SEARCH("CRM Status Mismatch",RawData[Error Type])))+SUMPRODUCT(--(RawData[Telecaller Name]=A18),--ISNUMBER(SEARCH("Customer Location Not Captured",RawData[Error Type]))))</f>
        <v/>
      </c>
    </row>
    <row r="19" spans="1:8" x14ac:dyDescent="0.25">
      <c r="A19" t="str" cm="1">
        <f t="array" aca="1" ref="A19" ca="1">IFERROR(_xlfn.LET(_xlpm.n,_xlfn.UNIQUE(_xlfn._xlws.FILTER(RawData[Telecaller Name],RawData[Telecaller Name]&lt;&gt;"")),_xlpm.a,1-COUNTIFS(RawData[Telecaller Name],_xlpm.n,RawData[Error Flag],1)/COUNTIF(RawData[Telecaller Name],_xlpm.n),INDEX(_xlfn.SORTBY(_xlpm.n,_xlpm.a,-1),ROWS(A$6:A19))),"")</f>
        <v/>
      </c>
      <c r="B19" t="str">
        <f ca="1">IF(A19="","",COUNTIF(RawData[Telecaller Name],A19))</f>
        <v/>
      </c>
      <c r="C19" t="str">
        <f ca="1">IF(A19="","",MAX(0,B19-COUNTIFS(RawData[Telecaller Name],A19,RawData[Error Flag],"&gt;0")))</f>
        <v/>
      </c>
      <c r="D19" t="str">
        <f ca="1">IF(A19="","",SUMIFS(RawData[Error Flag],RawData[Telecaller Name],A19))</f>
        <v/>
      </c>
      <c r="E19" s="9" t="str">
        <f t="shared" ca="1" si="0"/>
        <v/>
      </c>
      <c r="F19" t="str">
        <f t="shared" ca="1" si="1"/>
        <v/>
      </c>
      <c r="G19" t="str" cm="1">
        <f t="array" aca="1" ref="G19" ca="1">IF(A19="","",SUMPRODUCT(--(RawData[Telecaller Name]=A19),--(ISNUMBER(SEARCH("Wrong Lead Status",RawData[Error Type]))+ISNUMBER(SEARCH("RNR Classification Error",RawData[Error Type]))+ISNUMBER(SEARCH("Follow-up Error",RawData[Error Type]))&gt;0)))</f>
        <v/>
      </c>
      <c r="H19" t="str" cm="1">
        <f t="array" aca="1" ref="H19" ca="1">IF(A19="","",SUMPRODUCT(--(RawData[Telecaller Name]=A19),--ISNUMBER(SEARCH("Warm Status Mismatch",RawData[Error Type])))+SUMPRODUCT(--(RawData[Telecaller Name]=A19),--ISNUMBER(SEARCH("CRM Status Mismatch",RawData[Error Type])))+SUMPRODUCT(--(RawData[Telecaller Name]=A19),--ISNUMBER(SEARCH("Customer Location Not Captured",RawData[Error Type]))))</f>
        <v/>
      </c>
    </row>
    <row r="20" spans="1:8" x14ac:dyDescent="0.25">
      <c r="A20" t="str" cm="1">
        <f t="array" aca="1" ref="A20" ca="1">IFERROR(_xlfn.LET(_xlpm.n,_xlfn.UNIQUE(_xlfn._xlws.FILTER(RawData[Telecaller Name],RawData[Telecaller Name]&lt;&gt;"")),_xlpm.a,1-COUNTIFS(RawData[Telecaller Name],_xlpm.n,RawData[Error Flag],1)/COUNTIF(RawData[Telecaller Name],_xlpm.n),INDEX(_xlfn.SORTBY(_xlpm.n,_xlpm.a,-1),ROWS(A$6:A20))),"")</f>
        <v/>
      </c>
      <c r="B20" t="str">
        <f ca="1">IF(A20="","",COUNTIF(RawData[Telecaller Name],A20))</f>
        <v/>
      </c>
      <c r="C20" t="str">
        <f ca="1">IF(A20="","",MAX(0,B20-COUNTIFS(RawData[Telecaller Name],A20,RawData[Error Flag],"&gt;0")))</f>
        <v/>
      </c>
      <c r="D20" t="str">
        <f ca="1">IF(A20="","",SUMIFS(RawData[Error Flag],RawData[Telecaller Name],A20))</f>
        <v/>
      </c>
      <c r="E20" s="9" t="str">
        <f t="shared" ca="1" si="0"/>
        <v/>
      </c>
      <c r="F20" t="str">
        <f t="shared" ca="1" si="1"/>
        <v/>
      </c>
      <c r="G20" t="str" cm="1">
        <f t="array" aca="1" ref="G20" ca="1">IF(A20="","",SUMPRODUCT(--(RawData[Telecaller Name]=A20),--(ISNUMBER(SEARCH("Wrong Lead Status",RawData[Error Type]))+ISNUMBER(SEARCH("RNR Classification Error",RawData[Error Type]))+ISNUMBER(SEARCH("Follow-up Error",RawData[Error Type]))&gt;0)))</f>
        <v/>
      </c>
      <c r="H20" t="str" cm="1">
        <f t="array" aca="1" ref="H20" ca="1">IF(A20="","",SUMPRODUCT(--(RawData[Telecaller Name]=A20),--ISNUMBER(SEARCH("Warm Status Mismatch",RawData[Error Type])))+SUMPRODUCT(--(RawData[Telecaller Name]=A20),--ISNUMBER(SEARCH("CRM Status Mismatch",RawData[Error Type])))+SUMPRODUCT(--(RawData[Telecaller Name]=A20),--ISNUMBER(SEARCH("Customer Location Not Captured",RawData[Error Type]))))</f>
        <v/>
      </c>
    </row>
    <row r="21" spans="1:8" x14ac:dyDescent="0.25">
      <c r="A21" t="str" cm="1">
        <f t="array" aca="1" ref="A21" ca="1">IFERROR(_xlfn.LET(_xlpm.n,_xlfn.UNIQUE(_xlfn._xlws.FILTER(RawData[Telecaller Name],RawData[Telecaller Name]&lt;&gt;"")),_xlpm.a,1-COUNTIFS(RawData[Telecaller Name],_xlpm.n,RawData[Error Flag],1)/COUNTIF(RawData[Telecaller Name],_xlpm.n),INDEX(_xlfn.SORTBY(_xlpm.n,_xlpm.a,-1),ROWS(A$6:A21))),"")</f>
        <v/>
      </c>
      <c r="B21" t="str">
        <f ca="1">IF(A21="","",COUNTIF(RawData[Telecaller Name],A21))</f>
        <v/>
      </c>
      <c r="C21" t="str">
        <f ca="1">IF(A21="","",MAX(0,B21-COUNTIFS(RawData[Telecaller Name],A21,RawData[Error Flag],"&gt;0")))</f>
        <v/>
      </c>
      <c r="D21" t="str">
        <f ca="1">IF(A21="","",SUMIFS(RawData[Error Flag],RawData[Telecaller Name],A21))</f>
        <v/>
      </c>
      <c r="E21" s="9" t="str">
        <f t="shared" ca="1" si="0"/>
        <v/>
      </c>
      <c r="F21" t="str">
        <f t="shared" ca="1" si="1"/>
        <v/>
      </c>
      <c r="G21" t="str" cm="1">
        <f t="array" aca="1" ref="G21" ca="1">IF(A21="","",SUMPRODUCT(--(RawData[Telecaller Name]=A21),--(ISNUMBER(SEARCH("Wrong Lead Status",RawData[Error Type]))+ISNUMBER(SEARCH("RNR Classification Error",RawData[Error Type]))+ISNUMBER(SEARCH("Follow-up Error",RawData[Error Type]))&gt;0)))</f>
        <v/>
      </c>
      <c r="H21" t="str" cm="1">
        <f t="array" aca="1" ref="H21" ca="1">IF(A21="","",SUMPRODUCT(--(RawData[Telecaller Name]=A21),--ISNUMBER(SEARCH("Warm Status Mismatch",RawData[Error Type])))+SUMPRODUCT(--(RawData[Telecaller Name]=A21),--ISNUMBER(SEARCH("CRM Status Mismatch",RawData[Error Type])))+SUMPRODUCT(--(RawData[Telecaller Name]=A21),--ISNUMBER(SEARCH("Customer Location Not Captured",RawData[Error Type]))))</f>
        <v/>
      </c>
    </row>
    <row r="22" spans="1:8" x14ac:dyDescent="0.25">
      <c r="A22" t="str" cm="1">
        <f t="array" aca="1" ref="A22" ca="1">IFERROR(_xlfn.LET(_xlpm.n,_xlfn.UNIQUE(_xlfn._xlws.FILTER(RawData[Telecaller Name],RawData[Telecaller Name]&lt;&gt;"")),_xlpm.a,1-COUNTIFS(RawData[Telecaller Name],_xlpm.n,RawData[Error Flag],1)/COUNTIF(RawData[Telecaller Name],_xlpm.n),INDEX(_xlfn.SORTBY(_xlpm.n,_xlpm.a,-1),ROWS(A$6:A22))),"")</f>
        <v/>
      </c>
      <c r="B22" t="str">
        <f ca="1">IF(A22="","",COUNTIF(RawData[Telecaller Name],A22))</f>
        <v/>
      </c>
      <c r="C22" t="str">
        <f ca="1">IF(A22="","",MAX(0,B22-COUNTIFS(RawData[Telecaller Name],A22,RawData[Error Flag],"&gt;0")))</f>
        <v/>
      </c>
      <c r="D22" t="str">
        <f ca="1">IF(A22="","",SUMIFS(RawData[Error Flag],RawData[Telecaller Name],A22))</f>
        <v/>
      </c>
      <c r="E22" s="9" t="str">
        <f t="shared" ca="1" si="0"/>
        <v/>
      </c>
      <c r="F22" t="str">
        <f t="shared" ca="1" si="1"/>
        <v/>
      </c>
      <c r="G22" t="str" cm="1">
        <f t="array" aca="1" ref="G22" ca="1">IF(A22="","",SUMPRODUCT(--(RawData[Telecaller Name]=A22),--(ISNUMBER(SEARCH("Wrong Lead Status",RawData[Error Type]))+ISNUMBER(SEARCH("RNR Classification Error",RawData[Error Type]))+ISNUMBER(SEARCH("Follow-up Error",RawData[Error Type]))&gt;0)))</f>
        <v/>
      </c>
      <c r="H22" t="str" cm="1">
        <f t="array" aca="1" ref="H22" ca="1">IF(A22="","",SUMPRODUCT(--(RawData[Telecaller Name]=A22),--ISNUMBER(SEARCH("Warm Status Mismatch",RawData[Error Type])))+SUMPRODUCT(--(RawData[Telecaller Name]=A22),--ISNUMBER(SEARCH("CRM Status Mismatch",RawData[Error Type])))+SUMPRODUCT(--(RawData[Telecaller Name]=A22),--ISNUMBER(SEARCH("Customer Location Not Captured",RawData[Error Type]))))</f>
        <v/>
      </c>
    </row>
    <row r="23" spans="1:8" x14ac:dyDescent="0.25">
      <c r="A23" t="str" cm="1">
        <f t="array" aca="1" ref="A23" ca="1">IFERROR(_xlfn.LET(_xlpm.n,_xlfn.UNIQUE(_xlfn._xlws.FILTER(RawData[Telecaller Name],RawData[Telecaller Name]&lt;&gt;"")),_xlpm.a,1-COUNTIFS(RawData[Telecaller Name],_xlpm.n,RawData[Error Flag],1)/COUNTIF(RawData[Telecaller Name],_xlpm.n),INDEX(_xlfn.SORTBY(_xlpm.n,_xlpm.a,-1),ROWS(A$6:A23))),"")</f>
        <v/>
      </c>
      <c r="B23" t="str">
        <f ca="1">IF(A23="","",COUNTIF(RawData[Telecaller Name],A23))</f>
        <v/>
      </c>
      <c r="C23" t="str">
        <f ca="1">IF(A23="","",MAX(0,B23-COUNTIFS(RawData[Telecaller Name],A23,RawData[Error Flag],"&gt;0")))</f>
        <v/>
      </c>
      <c r="D23" t="str">
        <f ca="1">IF(A23="","",SUMIFS(RawData[Error Flag],RawData[Telecaller Name],A23))</f>
        <v/>
      </c>
      <c r="E23" s="9" t="str">
        <f t="shared" ca="1" si="0"/>
        <v/>
      </c>
      <c r="F23" t="str">
        <f t="shared" ca="1" si="1"/>
        <v/>
      </c>
      <c r="G23" t="str" cm="1">
        <f t="array" aca="1" ref="G23" ca="1">IF(A23="","",SUMPRODUCT(--(RawData[Telecaller Name]=A23),--(ISNUMBER(SEARCH("Wrong Lead Status",RawData[Error Type]))+ISNUMBER(SEARCH("RNR Classification Error",RawData[Error Type]))+ISNUMBER(SEARCH("Follow-up Error",RawData[Error Type]))&gt;0)))</f>
        <v/>
      </c>
      <c r="H23" t="str" cm="1">
        <f t="array" aca="1" ref="H23" ca="1">IF(A23="","",SUMPRODUCT(--(RawData[Telecaller Name]=A23),--ISNUMBER(SEARCH("Warm Status Mismatch",RawData[Error Type])))+SUMPRODUCT(--(RawData[Telecaller Name]=A23),--ISNUMBER(SEARCH("CRM Status Mismatch",RawData[Error Type])))+SUMPRODUCT(--(RawData[Telecaller Name]=A23),--ISNUMBER(SEARCH("Customer Location Not Captured",RawData[Error Type]))))</f>
        <v/>
      </c>
    </row>
    <row r="24" spans="1:8" x14ac:dyDescent="0.25">
      <c r="A24" t="str" cm="1">
        <f t="array" aca="1" ref="A24" ca="1">IFERROR(_xlfn.LET(_xlpm.n,_xlfn.UNIQUE(_xlfn._xlws.FILTER(RawData[Telecaller Name],RawData[Telecaller Name]&lt;&gt;"")),_xlpm.a,1-COUNTIFS(RawData[Telecaller Name],_xlpm.n,RawData[Error Flag],1)/COUNTIF(RawData[Telecaller Name],_xlpm.n),INDEX(_xlfn.SORTBY(_xlpm.n,_xlpm.a,-1),ROWS(A$6:A24))),"")</f>
        <v/>
      </c>
      <c r="B24" t="str">
        <f ca="1">IF(A24="","",COUNTIF(RawData[Telecaller Name],A24))</f>
        <v/>
      </c>
      <c r="C24" t="str">
        <f ca="1">IF(A24="","",MAX(0,B24-COUNTIFS(RawData[Telecaller Name],A24,RawData[Error Flag],"&gt;0")))</f>
        <v/>
      </c>
      <c r="D24" t="str">
        <f ca="1">IF(A24="","",SUMIFS(RawData[Error Flag],RawData[Telecaller Name],A24))</f>
        <v/>
      </c>
      <c r="E24" s="9" t="str">
        <f t="shared" ca="1" si="0"/>
        <v/>
      </c>
      <c r="F24" t="str">
        <f t="shared" ca="1" si="1"/>
        <v/>
      </c>
      <c r="G24" t="str" cm="1">
        <f t="array" aca="1" ref="G24" ca="1">IF(A24="","",SUMPRODUCT(--(RawData[Telecaller Name]=A24),--(ISNUMBER(SEARCH("Wrong Lead Status",RawData[Error Type]))+ISNUMBER(SEARCH("RNR Classification Error",RawData[Error Type]))+ISNUMBER(SEARCH("Follow-up Error",RawData[Error Type]))&gt;0)))</f>
        <v/>
      </c>
      <c r="H24" t="str" cm="1">
        <f t="array" aca="1" ref="H24" ca="1">IF(A24="","",SUMPRODUCT(--(RawData[Telecaller Name]=A24),--ISNUMBER(SEARCH("Warm Status Mismatch",RawData[Error Type])))+SUMPRODUCT(--(RawData[Telecaller Name]=A24),--ISNUMBER(SEARCH("CRM Status Mismatch",RawData[Error Type])))+SUMPRODUCT(--(RawData[Telecaller Name]=A24),--ISNUMBER(SEARCH("Customer Location Not Captured",RawData[Error Type]))))</f>
        <v/>
      </c>
    </row>
    <row r="25" spans="1:8" x14ac:dyDescent="0.25">
      <c r="A25" t="str" cm="1">
        <f t="array" aca="1" ref="A25" ca="1">IFERROR(_xlfn.LET(_xlpm.n,_xlfn.UNIQUE(_xlfn._xlws.FILTER(RawData[Telecaller Name],RawData[Telecaller Name]&lt;&gt;"")),_xlpm.a,1-COUNTIFS(RawData[Telecaller Name],_xlpm.n,RawData[Error Flag],1)/COUNTIF(RawData[Telecaller Name],_xlpm.n),INDEX(_xlfn.SORTBY(_xlpm.n,_xlpm.a,-1),ROWS(A$6:A25))),"")</f>
        <v/>
      </c>
      <c r="B25" t="str">
        <f ca="1">IF(A25="","",COUNTIF(RawData[Telecaller Name],A25))</f>
        <v/>
      </c>
      <c r="C25" t="str">
        <f ca="1">IF(A25="","",MAX(0,B25-COUNTIFS(RawData[Telecaller Name],A25,RawData[Error Flag],"&gt;0")))</f>
        <v/>
      </c>
      <c r="D25" t="str">
        <f ca="1">IF(A25="","",SUMIFS(RawData[Error Flag],RawData[Telecaller Name],A25))</f>
        <v/>
      </c>
      <c r="E25" s="9" t="str">
        <f t="shared" ca="1" si="0"/>
        <v/>
      </c>
      <c r="F25" t="str">
        <f t="shared" ca="1" si="1"/>
        <v/>
      </c>
      <c r="G25" t="str" cm="1">
        <f t="array" aca="1" ref="G25" ca="1">IF(A25="","",SUMPRODUCT(--(RawData[Telecaller Name]=A25),--(ISNUMBER(SEARCH("Wrong Lead Status",RawData[Error Type]))+ISNUMBER(SEARCH("RNR Classification Error",RawData[Error Type]))+ISNUMBER(SEARCH("Follow-up Error",RawData[Error Type]))&gt;0)))</f>
        <v/>
      </c>
      <c r="H25" t="str" cm="1">
        <f t="array" aca="1" ref="H25" ca="1">IF(A25="","",SUMPRODUCT(--(RawData[Telecaller Name]=A25),--ISNUMBER(SEARCH("Warm Status Mismatch",RawData[Error Type])))+SUMPRODUCT(--(RawData[Telecaller Name]=A25),--ISNUMBER(SEARCH("CRM Status Mismatch",RawData[Error Type])))+SUMPRODUCT(--(RawData[Telecaller Name]=A25),--ISNUMBER(SEARCH("Customer Location Not Captured",RawData[Error Type]))))</f>
        <v/>
      </c>
    </row>
    <row r="26" spans="1:8" x14ac:dyDescent="0.25">
      <c r="A26" t="str" cm="1">
        <f t="array" aca="1" ref="A26" ca="1">IFERROR(_xlfn.LET(_xlpm.n,_xlfn.UNIQUE(_xlfn._xlws.FILTER(RawData[Telecaller Name],RawData[Telecaller Name]&lt;&gt;"")),_xlpm.a,1-COUNTIFS(RawData[Telecaller Name],_xlpm.n,RawData[Error Flag],1)/COUNTIF(RawData[Telecaller Name],_xlpm.n),INDEX(_xlfn.SORTBY(_xlpm.n,_xlpm.a,-1),ROWS(A$6:A26))),"")</f>
        <v/>
      </c>
      <c r="B26" t="str">
        <f ca="1">IF(A26="","",COUNTIF(RawData[Telecaller Name],A26))</f>
        <v/>
      </c>
      <c r="C26" t="str">
        <f ca="1">IF(A26="","",MAX(0,B26-COUNTIFS(RawData[Telecaller Name],A26,RawData[Error Flag],"&gt;0")))</f>
        <v/>
      </c>
      <c r="D26" t="str">
        <f ca="1">IF(A26="","",SUMIFS(RawData[Error Flag],RawData[Telecaller Name],A26))</f>
        <v/>
      </c>
      <c r="E26" s="9" t="str">
        <f t="shared" ca="1" si="0"/>
        <v/>
      </c>
      <c r="F26" t="str">
        <f t="shared" ca="1" si="1"/>
        <v/>
      </c>
      <c r="G26" t="str" cm="1">
        <f t="array" aca="1" ref="G26" ca="1">IF(A26="","",SUMPRODUCT(--(RawData[Telecaller Name]=A26),--(ISNUMBER(SEARCH("Wrong Lead Status",RawData[Error Type]))+ISNUMBER(SEARCH("RNR Classification Error",RawData[Error Type]))+ISNUMBER(SEARCH("Follow-up Error",RawData[Error Type]))&gt;0)))</f>
        <v/>
      </c>
      <c r="H26" t="str" cm="1">
        <f t="array" aca="1" ref="H26" ca="1">IF(A26="","",SUMPRODUCT(--(RawData[Telecaller Name]=A26),--ISNUMBER(SEARCH("Warm Status Mismatch",RawData[Error Type])))+SUMPRODUCT(--(RawData[Telecaller Name]=A26),--ISNUMBER(SEARCH("CRM Status Mismatch",RawData[Error Type])))+SUMPRODUCT(--(RawData[Telecaller Name]=A26),--ISNUMBER(SEARCH("Customer Location Not Captured",RawData[Error Type]))))</f>
        <v/>
      </c>
    </row>
    <row r="27" spans="1:8" x14ac:dyDescent="0.25">
      <c r="A27" t="str" cm="1">
        <f t="array" aca="1" ref="A27" ca="1">IFERROR(_xlfn.LET(_xlpm.n,_xlfn.UNIQUE(_xlfn._xlws.FILTER(RawData[Telecaller Name],RawData[Telecaller Name]&lt;&gt;"")),_xlpm.a,1-COUNTIFS(RawData[Telecaller Name],_xlpm.n,RawData[Error Flag],1)/COUNTIF(RawData[Telecaller Name],_xlpm.n),INDEX(_xlfn.SORTBY(_xlpm.n,_xlpm.a,-1),ROWS(A$6:A27))),"")</f>
        <v/>
      </c>
      <c r="B27" t="str">
        <f ca="1">IF(A27="","",COUNTIF(RawData[Telecaller Name],A27))</f>
        <v/>
      </c>
      <c r="C27" t="str">
        <f ca="1">IF(A27="","",MAX(0,B27-COUNTIFS(RawData[Telecaller Name],A27,RawData[Error Flag],"&gt;0")))</f>
        <v/>
      </c>
      <c r="D27" t="str">
        <f ca="1">IF(A27="","",SUMIFS(RawData[Error Flag],RawData[Telecaller Name],A27))</f>
        <v/>
      </c>
      <c r="E27" s="9" t="str">
        <f t="shared" ca="1" si="0"/>
        <v/>
      </c>
      <c r="F27" t="str">
        <f t="shared" ca="1" si="1"/>
        <v/>
      </c>
      <c r="G27" t="str" cm="1">
        <f t="array" aca="1" ref="G27" ca="1">IF(A27="","",SUMPRODUCT(--(RawData[Telecaller Name]=A27),--(ISNUMBER(SEARCH("Wrong Lead Status",RawData[Error Type]))+ISNUMBER(SEARCH("RNR Classification Error",RawData[Error Type]))+ISNUMBER(SEARCH("Follow-up Error",RawData[Error Type]))&gt;0)))</f>
        <v/>
      </c>
      <c r="H27" t="str" cm="1">
        <f t="array" aca="1" ref="H27" ca="1">IF(A27="","",SUMPRODUCT(--(RawData[Telecaller Name]=A27),--ISNUMBER(SEARCH("Warm Status Mismatch",RawData[Error Type])))+SUMPRODUCT(--(RawData[Telecaller Name]=A27),--ISNUMBER(SEARCH("CRM Status Mismatch",RawData[Error Type])))+SUMPRODUCT(--(RawData[Telecaller Name]=A27),--ISNUMBER(SEARCH("Customer Location Not Captured",RawData[Error Type]))))</f>
        <v/>
      </c>
    </row>
    <row r="28" spans="1:8" x14ac:dyDescent="0.25">
      <c r="A28" t="str" cm="1">
        <f t="array" aca="1" ref="A28" ca="1">IFERROR(_xlfn.LET(_xlpm.n,_xlfn.UNIQUE(_xlfn._xlws.FILTER(RawData[Telecaller Name],RawData[Telecaller Name]&lt;&gt;"")),_xlpm.a,1-COUNTIFS(RawData[Telecaller Name],_xlpm.n,RawData[Error Flag],1)/COUNTIF(RawData[Telecaller Name],_xlpm.n),INDEX(_xlfn.SORTBY(_xlpm.n,_xlpm.a,-1),ROWS(A$6:A28))),"")</f>
        <v/>
      </c>
      <c r="B28" t="str">
        <f ca="1">IF(A28="","",COUNTIF(RawData[Telecaller Name],A28))</f>
        <v/>
      </c>
      <c r="C28" t="str">
        <f ca="1">IF(A28="","",MAX(0,B28-COUNTIFS(RawData[Telecaller Name],A28,RawData[Error Flag],"&gt;0")))</f>
        <v/>
      </c>
      <c r="D28" t="str">
        <f ca="1">IF(A28="","",SUMIFS(RawData[Error Flag],RawData[Telecaller Name],A28))</f>
        <v/>
      </c>
      <c r="E28" s="9" t="str">
        <f t="shared" ca="1" si="0"/>
        <v/>
      </c>
      <c r="F28" t="str">
        <f t="shared" ca="1" si="1"/>
        <v/>
      </c>
      <c r="G28" t="str" cm="1">
        <f t="array" aca="1" ref="G28" ca="1">IF(A28="","",SUMPRODUCT(--(RawData[Telecaller Name]=A28),--(ISNUMBER(SEARCH("Wrong Lead Status",RawData[Error Type]))+ISNUMBER(SEARCH("RNR Classification Error",RawData[Error Type]))+ISNUMBER(SEARCH("Follow-up Error",RawData[Error Type]))&gt;0)))</f>
        <v/>
      </c>
      <c r="H28" t="str" cm="1">
        <f t="array" aca="1" ref="H28" ca="1">IF(A28="","",SUMPRODUCT(--(RawData[Telecaller Name]=A28),--ISNUMBER(SEARCH("Warm Status Mismatch",RawData[Error Type])))+SUMPRODUCT(--(RawData[Telecaller Name]=A28),--ISNUMBER(SEARCH("CRM Status Mismatch",RawData[Error Type])))+SUMPRODUCT(--(RawData[Telecaller Name]=A28),--ISNUMBER(SEARCH("Customer Location Not Captured",RawData[Error Type]))))</f>
        <v/>
      </c>
    </row>
    <row r="29" spans="1:8" x14ac:dyDescent="0.25">
      <c r="A29" t="str" cm="1">
        <f t="array" aca="1" ref="A29" ca="1">IFERROR(_xlfn.LET(_xlpm.n,_xlfn.UNIQUE(_xlfn._xlws.FILTER(RawData[Telecaller Name],RawData[Telecaller Name]&lt;&gt;"")),_xlpm.a,1-COUNTIFS(RawData[Telecaller Name],_xlpm.n,RawData[Error Flag],1)/COUNTIF(RawData[Telecaller Name],_xlpm.n),INDEX(_xlfn.SORTBY(_xlpm.n,_xlpm.a,-1),ROWS(A$6:A29))),"")</f>
        <v/>
      </c>
      <c r="B29" t="str">
        <f ca="1">IF(A29="","",COUNTIF(RawData[Telecaller Name],A29))</f>
        <v/>
      </c>
      <c r="C29" t="str">
        <f ca="1">IF(A29="","",MAX(0,B29-COUNTIFS(RawData[Telecaller Name],A29,RawData[Error Flag],"&gt;0")))</f>
        <v/>
      </c>
      <c r="D29" t="str">
        <f ca="1">IF(A29="","",SUMIFS(RawData[Error Flag],RawData[Telecaller Name],A29))</f>
        <v/>
      </c>
      <c r="E29" s="9" t="str">
        <f t="shared" ca="1" si="0"/>
        <v/>
      </c>
      <c r="F29" t="str">
        <f t="shared" ca="1" si="1"/>
        <v/>
      </c>
      <c r="G29" t="str" cm="1">
        <f t="array" aca="1" ref="G29" ca="1">IF(A29="","",SUMPRODUCT(--(RawData[Telecaller Name]=A29),--(ISNUMBER(SEARCH("Wrong Lead Status",RawData[Error Type]))+ISNUMBER(SEARCH("RNR Classification Error",RawData[Error Type]))+ISNUMBER(SEARCH("Follow-up Error",RawData[Error Type]))&gt;0)))</f>
        <v/>
      </c>
      <c r="H29" t="str" cm="1">
        <f t="array" aca="1" ref="H29" ca="1">IF(A29="","",SUMPRODUCT(--(RawData[Telecaller Name]=A29),--ISNUMBER(SEARCH("Warm Status Mismatch",RawData[Error Type])))+SUMPRODUCT(--(RawData[Telecaller Name]=A29),--ISNUMBER(SEARCH("CRM Status Mismatch",RawData[Error Type])))+SUMPRODUCT(--(RawData[Telecaller Name]=A29),--ISNUMBER(SEARCH("Customer Location Not Captured",RawData[Error Type]))))</f>
        <v/>
      </c>
    </row>
    <row r="30" spans="1:8" x14ac:dyDescent="0.25">
      <c r="A30" t="str" cm="1">
        <f t="array" aca="1" ref="A30" ca="1">IFERROR(_xlfn.LET(_xlpm.n,_xlfn.UNIQUE(_xlfn._xlws.FILTER(RawData[Telecaller Name],RawData[Telecaller Name]&lt;&gt;"")),_xlpm.a,1-COUNTIFS(RawData[Telecaller Name],_xlpm.n,RawData[Error Flag],1)/COUNTIF(RawData[Telecaller Name],_xlpm.n),INDEX(_xlfn.SORTBY(_xlpm.n,_xlpm.a,-1),ROWS(A$6:A30))),"")</f>
        <v/>
      </c>
      <c r="B30" t="str">
        <f ca="1">IF(A30="","",COUNTIF(RawData[Telecaller Name],A30))</f>
        <v/>
      </c>
      <c r="C30" t="str">
        <f ca="1">IF(A30="","",MAX(0,B30-COUNTIFS(RawData[Telecaller Name],A30,RawData[Error Flag],"&gt;0")))</f>
        <v/>
      </c>
      <c r="D30" t="str">
        <f ca="1">IF(A30="","",SUMIFS(RawData[Error Flag],RawData[Telecaller Name],A30))</f>
        <v/>
      </c>
      <c r="E30" s="9" t="str">
        <f t="shared" ca="1" si="0"/>
        <v/>
      </c>
      <c r="F30" t="str">
        <f t="shared" ca="1" si="1"/>
        <v/>
      </c>
      <c r="G30" t="str" cm="1">
        <f t="array" aca="1" ref="G30" ca="1">IF(A30="","",SUMPRODUCT(--(RawData[Telecaller Name]=A30),--(ISNUMBER(SEARCH("Wrong Lead Status",RawData[Error Type]))+ISNUMBER(SEARCH("RNR Classification Error",RawData[Error Type]))+ISNUMBER(SEARCH("Follow-up Error",RawData[Error Type]))&gt;0)))</f>
        <v/>
      </c>
      <c r="H30" t="str" cm="1">
        <f t="array" aca="1" ref="H30" ca="1">IF(A30="","",SUMPRODUCT(--(RawData[Telecaller Name]=A30),--ISNUMBER(SEARCH("Warm Status Mismatch",RawData[Error Type])))+SUMPRODUCT(--(RawData[Telecaller Name]=A30),--ISNUMBER(SEARCH("CRM Status Mismatch",RawData[Error Type])))+SUMPRODUCT(--(RawData[Telecaller Name]=A30),--ISNUMBER(SEARCH("Customer Location Not Captured",RawData[Error Type]))))</f>
        <v/>
      </c>
    </row>
    <row r="31" spans="1:8" x14ac:dyDescent="0.25">
      <c r="A31" t="str" cm="1">
        <f t="array" aca="1" ref="A31" ca="1">IFERROR(_xlfn.LET(_xlpm.n,_xlfn.UNIQUE(_xlfn._xlws.FILTER(RawData[Telecaller Name],RawData[Telecaller Name]&lt;&gt;"")),_xlpm.a,1-COUNTIFS(RawData[Telecaller Name],_xlpm.n,RawData[Error Flag],1)/COUNTIF(RawData[Telecaller Name],_xlpm.n),INDEX(_xlfn.SORTBY(_xlpm.n,_xlpm.a,-1),ROWS(A$6:A31))),"")</f>
        <v/>
      </c>
      <c r="B31" t="str">
        <f ca="1">IF(A31="","",COUNTIF(RawData[Telecaller Name],A31))</f>
        <v/>
      </c>
      <c r="C31" t="str">
        <f ca="1">IF(A31="","",MAX(0,B31-COUNTIFS(RawData[Telecaller Name],A31,RawData[Error Flag],"&gt;0")))</f>
        <v/>
      </c>
      <c r="D31" t="str">
        <f ca="1">IF(A31="","",SUMIFS(RawData[Error Flag],RawData[Telecaller Name],A31))</f>
        <v/>
      </c>
      <c r="E31" s="9" t="str">
        <f t="shared" ca="1" si="0"/>
        <v/>
      </c>
      <c r="F31" t="str">
        <f t="shared" ca="1" si="1"/>
        <v/>
      </c>
      <c r="G31" t="str" cm="1">
        <f t="array" aca="1" ref="G31" ca="1">IF(A31="","",SUMPRODUCT(--(RawData[Telecaller Name]=A31),--(ISNUMBER(SEARCH("Wrong Lead Status",RawData[Error Type]))+ISNUMBER(SEARCH("RNR Classification Error",RawData[Error Type]))+ISNUMBER(SEARCH("Follow-up Error",RawData[Error Type]))&gt;0)))</f>
        <v/>
      </c>
      <c r="H31" t="str" cm="1">
        <f t="array" aca="1" ref="H31" ca="1">IF(A31="","",SUMPRODUCT(--(RawData[Telecaller Name]=A31),--ISNUMBER(SEARCH("Warm Status Mismatch",RawData[Error Type])))+SUMPRODUCT(--(RawData[Telecaller Name]=A31),--ISNUMBER(SEARCH("CRM Status Mismatch",RawData[Error Type])))+SUMPRODUCT(--(RawData[Telecaller Name]=A31),--ISNUMBER(SEARCH("Customer Location Not Captured",RawData[Error Type]))))</f>
        <v/>
      </c>
    </row>
    <row r="32" spans="1:8" x14ac:dyDescent="0.25">
      <c r="A32" t="str" cm="1">
        <f t="array" aca="1" ref="A32" ca="1">IFERROR(_xlfn.LET(_xlpm.n,_xlfn.UNIQUE(_xlfn._xlws.FILTER(RawData[Telecaller Name],RawData[Telecaller Name]&lt;&gt;"")),_xlpm.a,1-COUNTIFS(RawData[Telecaller Name],_xlpm.n,RawData[Error Flag],1)/COUNTIF(RawData[Telecaller Name],_xlpm.n),INDEX(_xlfn.SORTBY(_xlpm.n,_xlpm.a,-1),ROWS(A$6:A32))),"")</f>
        <v/>
      </c>
      <c r="B32" t="str">
        <f ca="1">IF(A32="","",COUNTIF(RawData[Telecaller Name],A32))</f>
        <v/>
      </c>
      <c r="C32" t="str">
        <f ca="1">IF(A32="","",MAX(0,B32-COUNTIFS(RawData[Telecaller Name],A32,RawData[Error Flag],"&gt;0")))</f>
        <v/>
      </c>
      <c r="D32" t="str">
        <f ca="1">IF(A32="","",SUMIFS(RawData[Error Flag],RawData[Telecaller Name],A32))</f>
        <v/>
      </c>
      <c r="E32" s="9" t="str">
        <f t="shared" ca="1" si="0"/>
        <v/>
      </c>
      <c r="F32" t="str">
        <f t="shared" ca="1" si="1"/>
        <v/>
      </c>
      <c r="G32" t="str" cm="1">
        <f t="array" aca="1" ref="G32" ca="1">IF(A32="","",SUMPRODUCT(--(RawData[Telecaller Name]=A32),--(ISNUMBER(SEARCH("Wrong Lead Status",RawData[Error Type]))+ISNUMBER(SEARCH("RNR Classification Error",RawData[Error Type]))+ISNUMBER(SEARCH("Follow-up Error",RawData[Error Type]))&gt;0)))</f>
        <v/>
      </c>
      <c r="H32" t="str" cm="1">
        <f t="array" aca="1" ref="H32" ca="1">IF(A32="","",SUMPRODUCT(--(RawData[Telecaller Name]=A32),--ISNUMBER(SEARCH("Warm Status Mismatch",RawData[Error Type])))+SUMPRODUCT(--(RawData[Telecaller Name]=A32),--ISNUMBER(SEARCH("CRM Status Mismatch",RawData[Error Type])))+SUMPRODUCT(--(RawData[Telecaller Name]=A32),--ISNUMBER(SEARCH("Customer Location Not Captured",RawData[Error Type]))))</f>
        <v/>
      </c>
    </row>
    <row r="33" spans="1:8" x14ac:dyDescent="0.25">
      <c r="A33" t="str" cm="1">
        <f t="array" aca="1" ref="A33" ca="1">IFERROR(_xlfn.LET(_xlpm.n,_xlfn.UNIQUE(_xlfn._xlws.FILTER(RawData[Telecaller Name],RawData[Telecaller Name]&lt;&gt;"")),_xlpm.a,1-COUNTIFS(RawData[Telecaller Name],_xlpm.n,RawData[Error Flag],1)/COUNTIF(RawData[Telecaller Name],_xlpm.n),INDEX(_xlfn.SORTBY(_xlpm.n,_xlpm.a,-1),ROWS(A$6:A33))),"")</f>
        <v/>
      </c>
      <c r="B33" t="str">
        <f ca="1">IF(A33="","",COUNTIF(RawData[Telecaller Name],A33))</f>
        <v/>
      </c>
      <c r="C33" t="str">
        <f ca="1">IF(A33="","",MAX(0,B33-COUNTIFS(RawData[Telecaller Name],A33,RawData[Error Flag],"&gt;0")))</f>
        <v/>
      </c>
      <c r="D33" t="str">
        <f ca="1">IF(A33="","",SUMIFS(RawData[Error Flag],RawData[Telecaller Name],A33))</f>
        <v/>
      </c>
      <c r="E33" s="9" t="str">
        <f t="shared" ca="1" si="0"/>
        <v/>
      </c>
      <c r="F33" t="str">
        <f t="shared" ca="1" si="1"/>
        <v/>
      </c>
      <c r="G33" t="str" cm="1">
        <f t="array" aca="1" ref="G33" ca="1">IF(A33="","",SUMPRODUCT(--(RawData[Telecaller Name]=A33),--(ISNUMBER(SEARCH("Wrong Lead Status",RawData[Error Type]))+ISNUMBER(SEARCH("RNR Classification Error",RawData[Error Type]))+ISNUMBER(SEARCH("Follow-up Error",RawData[Error Type]))&gt;0)))</f>
        <v/>
      </c>
      <c r="H33" t="str" cm="1">
        <f t="array" aca="1" ref="H33" ca="1">IF(A33="","",SUMPRODUCT(--(RawData[Telecaller Name]=A33),--ISNUMBER(SEARCH("Warm Status Mismatch",RawData[Error Type])))+SUMPRODUCT(--(RawData[Telecaller Name]=A33),--ISNUMBER(SEARCH("CRM Status Mismatch",RawData[Error Type])))+SUMPRODUCT(--(RawData[Telecaller Name]=A33),--ISNUMBER(SEARCH("Customer Location Not Captured",RawData[Error Type]))))</f>
        <v/>
      </c>
    </row>
    <row r="34" spans="1:8" x14ac:dyDescent="0.25">
      <c r="A34" t="str" cm="1">
        <f t="array" aca="1" ref="A34" ca="1">IFERROR(_xlfn.LET(_xlpm.n,_xlfn.UNIQUE(_xlfn._xlws.FILTER(RawData[Telecaller Name],RawData[Telecaller Name]&lt;&gt;"")),_xlpm.a,1-COUNTIFS(RawData[Telecaller Name],_xlpm.n,RawData[Error Flag],1)/COUNTIF(RawData[Telecaller Name],_xlpm.n),INDEX(_xlfn.SORTBY(_xlpm.n,_xlpm.a,-1),ROWS(A$6:A34))),"")</f>
        <v/>
      </c>
      <c r="B34" t="str">
        <f ca="1">IF(A34="","",COUNTIF(RawData[Telecaller Name],A34))</f>
        <v/>
      </c>
      <c r="C34" t="str">
        <f ca="1">IF(A34="","",MAX(0,B34-COUNTIFS(RawData[Telecaller Name],A34,RawData[Error Flag],"&gt;0")))</f>
        <v/>
      </c>
      <c r="D34" t="str">
        <f ca="1">IF(A34="","",SUMIFS(RawData[Error Flag],RawData[Telecaller Name],A34))</f>
        <v/>
      </c>
      <c r="E34" s="9" t="str">
        <f t="shared" ca="1" si="0"/>
        <v/>
      </c>
      <c r="F34" t="str">
        <f t="shared" ca="1" si="1"/>
        <v/>
      </c>
      <c r="G34" t="str" cm="1">
        <f t="array" aca="1" ref="G34" ca="1">IF(A34="","",SUMPRODUCT(--(RawData[Telecaller Name]=A34),--(ISNUMBER(SEARCH("Wrong Lead Status",RawData[Error Type]))+ISNUMBER(SEARCH("RNR Classification Error",RawData[Error Type]))+ISNUMBER(SEARCH("Follow-up Error",RawData[Error Type]))&gt;0)))</f>
        <v/>
      </c>
      <c r="H34" t="str" cm="1">
        <f t="array" aca="1" ref="H34" ca="1">IF(A34="","",SUMPRODUCT(--(RawData[Telecaller Name]=A34),--ISNUMBER(SEARCH("Warm Status Mismatch",RawData[Error Type])))+SUMPRODUCT(--(RawData[Telecaller Name]=A34),--ISNUMBER(SEARCH("CRM Status Mismatch",RawData[Error Type])))+SUMPRODUCT(--(RawData[Telecaller Name]=A34),--ISNUMBER(SEARCH("Customer Location Not Captured",RawData[Error Type]))))</f>
        <v/>
      </c>
    </row>
    <row r="35" spans="1:8" x14ac:dyDescent="0.25">
      <c r="A35" t="str" cm="1">
        <f t="array" aca="1" ref="A35" ca="1">IFERROR(_xlfn.LET(_xlpm.n,_xlfn.UNIQUE(_xlfn._xlws.FILTER(RawData[Telecaller Name],RawData[Telecaller Name]&lt;&gt;"")),_xlpm.a,1-COUNTIFS(RawData[Telecaller Name],_xlpm.n,RawData[Error Flag],1)/COUNTIF(RawData[Telecaller Name],_xlpm.n),INDEX(_xlfn.SORTBY(_xlpm.n,_xlpm.a,-1),ROWS(A$6:A35))),"")</f>
        <v/>
      </c>
      <c r="B35" t="str">
        <f ca="1">IF(A35="","",COUNTIF(RawData[Telecaller Name],A35))</f>
        <v/>
      </c>
      <c r="C35" t="str">
        <f ca="1">IF(A35="","",MAX(0,B35-COUNTIFS(RawData[Telecaller Name],A35,RawData[Error Flag],"&gt;0")))</f>
        <v/>
      </c>
      <c r="D35" t="str">
        <f ca="1">IF(A35="","",SUMIFS(RawData[Error Flag],RawData[Telecaller Name],A35))</f>
        <v/>
      </c>
      <c r="E35" s="9" t="str">
        <f t="shared" ca="1" si="0"/>
        <v/>
      </c>
      <c r="F35" t="str">
        <f t="shared" ca="1" si="1"/>
        <v/>
      </c>
      <c r="G35" t="str" cm="1">
        <f t="array" aca="1" ref="G35" ca="1">IF(A35="","",SUMPRODUCT(--(RawData[Telecaller Name]=A35),--(ISNUMBER(SEARCH("Wrong Lead Status",RawData[Error Type]))+ISNUMBER(SEARCH("RNR Classification Error",RawData[Error Type]))+ISNUMBER(SEARCH("Follow-up Error",RawData[Error Type]))&gt;0)))</f>
        <v/>
      </c>
      <c r="H35" t="str" cm="1">
        <f t="array" aca="1" ref="H35" ca="1">IF(A35="","",SUMPRODUCT(--(RawData[Telecaller Name]=A35),--ISNUMBER(SEARCH("Warm Status Mismatch",RawData[Error Type])))+SUMPRODUCT(--(RawData[Telecaller Name]=A35),--ISNUMBER(SEARCH("CRM Status Mismatch",RawData[Error Type])))+SUMPRODUCT(--(RawData[Telecaller Name]=A35),--ISNUMBER(SEARCH("Customer Location Not Captured",RawData[Error Type]))))</f>
        <v/>
      </c>
    </row>
    <row r="36" spans="1:8" x14ac:dyDescent="0.25">
      <c r="A36" t="str" cm="1">
        <f t="array" aca="1" ref="A36" ca="1">IFERROR(_xlfn.LET(_xlpm.n,_xlfn.UNIQUE(_xlfn._xlws.FILTER(RawData[Telecaller Name],RawData[Telecaller Name]&lt;&gt;"")),_xlpm.a,1-COUNTIFS(RawData[Telecaller Name],_xlpm.n,RawData[Error Flag],1)/COUNTIF(RawData[Telecaller Name],_xlpm.n),INDEX(_xlfn.SORTBY(_xlpm.n,_xlpm.a,-1),ROWS(A$6:A36))),"")</f>
        <v/>
      </c>
      <c r="B36" t="str">
        <f ca="1">IF(A36="","",COUNTIF(RawData[Telecaller Name],A36))</f>
        <v/>
      </c>
      <c r="C36" t="str">
        <f ca="1">IF(A36="","",MAX(0,B36-COUNTIFS(RawData[Telecaller Name],A36,RawData[Error Flag],"&gt;0")))</f>
        <v/>
      </c>
      <c r="D36" t="str">
        <f ca="1">IF(A36="","",SUMIFS(RawData[Error Flag],RawData[Telecaller Name],A36))</f>
        <v/>
      </c>
      <c r="E36" s="9" t="str">
        <f t="shared" ca="1" si="0"/>
        <v/>
      </c>
      <c r="F36" t="str">
        <f t="shared" ca="1" si="1"/>
        <v/>
      </c>
      <c r="G36" t="str" cm="1">
        <f t="array" aca="1" ref="G36" ca="1">IF(A36="","",SUMPRODUCT(--(RawData[Telecaller Name]=A36),--(ISNUMBER(SEARCH("Wrong Lead Status",RawData[Error Type]))+ISNUMBER(SEARCH("RNR Classification Error",RawData[Error Type]))+ISNUMBER(SEARCH("Follow-up Error",RawData[Error Type]))&gt;0)))</f>
        <v/>
      </c>
      <c r="H36" t="str" cm="1">
        <f t="array" aca="1" ref="H36" ca="1">IF(A36="","",SUMPRODUCT(--(RawData[Telecaller Name]=A36),--ISNUMBER(SEARCH("Warm Status Mismatch",RawData[Error Type])))+SUMPRODUCT(--(RawData[Telecaller Name]=A36),--ISNUMBER(SEARCH("CRM Status Mismatch",RawData[Error Type])))+SUMPRODUCT(--(RawData[Telecaller Name]=A36),--ISNUMBER(SEARCH("Customer Location Not Captured",RawData[Error Type]))))</f>
        <v/>
      </c>
    </row>
    <row r="37" spans="1:8" x14ac:dyDescent="0.25">
      <c r="A37" t="str" cm="1">
        <f t="array" aca="1" ref="A37" ca="1">IFERROR(_xlfn.LET(_xlpm.n,_xlfn.UNIQUE(_xlfn._xlws.FILTER(RawData[Telecaller Name],RawData[Telecaller Name]&lt;&gt;"")),_xlpm.a,1-COUNTIFS(RawData[Telecaller Name],_xlpm.n,RawData[Error Flag],1)/COUNTIF(RawData[Telecaller Name],_xlpm.n),INDEX(_xlfn.SORTBY(_xlpm.n,_xlpm.a,-1),ROWS(A$6:A37))),"")</f>
        <v/>
      </c>
      <c r="B37" t="str">
        <f ca="1">IF(A37="","",COUNTIF(RawData[Telecaller Name],A37))</f>
        <v/>
      </c>
      <c r="C37" t="str">
        <f ca="1">IF(A37="","",MAX(0,B37-COUNTIFS(RawData[Telecaller Name],A37,RawData[Error Flag],"&gt;0")))</f>
        <v/>
      </c>
      <c r="D37" t="str">
        <f ca="1">IF(A37="","",SUMIFS(RawData[Error Flag],RawData[Telecaller Name],A37))</f>
        <v/>
      </c>
      <c r="E37" s="9" t="str">
        <f t="shared" ca="1" si="0"/>
        <v/>
      </c>
      <c r="F37" t="str">
        <f t="shared" ca="1" si="1"/>
        <v/>
      </c>
      <c r="G37" t="str" cm="1">
        <f t="array" aca="1" ref="G37" ca="1">IF(A37="","",SUMPRODUCT(--(RawData[Telecaller Name]=A37),--(ISNUMBER(SEARCH("Wrong Lead Status",RawData[Error Type]))+ISNUMBER(SEARCH("RNR Classification Error",RawData[Error Type]))+ISNUMBER(SEARCH("Follow-up Error",RawData[Error Type]))&gt;0)))</f>
        <v/>
      </c>
      <c r="H37" t="str" cm="1">
        <f t="array" aca="1" ref="H37" ca="1">IF(A37="","",SUMPRODUCT(--(RawData[Telecaller Name]=A37),--ISNUMBER(SEARCH("Warm Status Mismatch",RawData[Error Type])))+SUMPRODUCT(--(RawData[Telecaller Name]=A37),--ISNUMBER(SEARCH("CRM Status Mismatch",RawData[Error Type])))+SUMPRODUCT(--(RawData[Telecaller Name]=A37),--ISNUMBER(SEARCH("Customer Location Not Captured",RawData[Error Type]))))</f>
        <v/>
      </c>
    </row>
    <row r="38" spans="1:8" x14ac:dyDescent="0.25">
      <c r="A38" t="str" cm="1">
        <f t="array" aca="1" ref="A38" ca="1">IFERROR(_xlfn.LET(_xlpm.n,_xlfn.UNIQUE(_xlfn._xlws.FILTER(RawData[Telecaller Name],RawData[Telecaller Name]&lt;&gt;"")),_xlpm.a,1-COUNTIFS(RawData[Telecaller Name],_xlpm.n,RawData[Error Flag],1)/COUNTIF(RawData[Telecaller Name],_xlpm.n),INDEX(_xlfn.SORTBY(_xlpm.n,_xlpm.a,-1),ROWS(A$6:A38))),"")</f>
        <v/>
      </c>
      <c r="B38" t="str">
        <f ca="1">IF(A38="","",COUNTIF(RawData[Telecaller Name],A38))</f>
        <v/>
      </c>
      <c r="C38" t="str">
        <f ca="1">IF(A38="","",MAX(0,B38-COUNTIFS(RawData[Telecaller Name],A38,RawData[Error Flag],"&gt;0")))</f>
        <v/>
      </c>
      <c r="D38" t="str">
        <f ca="1">IF(A38="","",SUMIFS(RawData[Error Flag],RawData[Telecaller Name],A38))</f>
        <v/>
      </c>
      <c r="E38" s="9" t="str">
        <f t="shared" ca="1" si="0"/>
        <v/>
      </c>
      <c r="F38" t="str">
        <f t="shared" ca="1" si="1"/>
        <v/>
      </c>
      <c r="G38" t="str" cm="1">
        <f t="array" aca="1" ref="G38" ca="1">IF(A38="","",SUMPRODUCT(--(RawData[Telecaller Name]=A38),--(ISNUMBER(SEARCH("Wrong Lead Status",RawData[Error Type]))+ISNUMBER(SEARCH("RNR Classification Error",RawData[Error Type]))+ISNUMBER(SEARCH("Follow-up Error",RawData[Error Type]))&gt;0)))</f>
        <v/>
      </c>
      <c r="H38" t="str" cm="1">
        <f t="array" aca="1" ref="H38" ca="1">IF(A38="","",SUMPRODUCT(--(RawData[Telecaller Name]=A38),--ISNUMBER(SEARCH("Warm Status Mismatch",RawData[Error Type])))+SUMPRODUCT(--(RawData[Telecaller Name]=A38),--ISNUMBER(SEARCH("CRM Status Mismatch",RawData[Error Type])))+SUMPRODUCT(--(RawData[Telecaller Name]=A38),--ISNUMBER(SEARCH("Customer Location Not Captured",RawData[Error Type]))))</f>
        <v/>
      </c>
    </row>
    <row r="39" spans="1:8" x14ac:dyDescent="0.25">
      <c r="A39" t="str" cm="1">
        <f t="array" aca="1" ref="A39" ca="1">IFERROR(_xlfn.LET(_xlpm.n,_xlfn.UNIQUE(_xlfn._xlws.FILTER(RawData[Telecaller Name],RawData[Telecaller Name]&lt;&gt;"")),_xlpm.a,1-COUNTIFS(RawData[Telecaller Name],_xlpm.n,RawData[Error Flag],1)/COUNTIF(RawData[Telecaller Name],_xlpm.n),INDEX(_xlfn.SORTBY(_xlpm.n,_xlpm.a,-1),ROWS(A$6:A39))),"")</f>
        <v/>
      </c>
      <c r="B39" t="str">
        <f ca="1">IF(A39="","",COUNTIF(RawData[Telecaller Name],A39))</f>
        <v/>
      </c>
      <c r="C39" t="str">
        <f ca="1">IF(A39="","",MAX(0,B39-COUNTIFS(RawData[Telecaller Name],A39,RawData[Error Flag],"&gt;0")))</f>
        <v/>
      </c>
      <c r="D39" t="str">
        <f ca="1">IF(A39="","",SUMIFS(RawData[Error Flag],RawData[Telecaller Name],A39))</f>
        <v/>
      </c>
      <c r="E39" s="9" t="str">
        <f t="shared" ca="1" si="0"/>
        <v/>
      </c>
      <c r="F39" t="str">
        <f t="shared" ca="1" si="1"/>
        <v/>
      </c>
      <c r="G39" t="str" cm="1">
        <f t="array" aca="1" ref="G39" ca="1">IF(A39="","",SUMPRODUCT(--(RawData[Telecaller Name]=A39),--(ISNUMBER(SEARCH("Wrong Lead Status",RawData[Error Type]))+ISNUMBER(SEARCH("RNR Classification Error",RawData[Error Type]))+ISNUMBER(SEARCH("Follow-up Error",RawData[Error Type]))&gt;0)))</f>
        <v/>
      </c>
      <c r="H39" t="str" cm="1">
        <f t="array" aca="1" ref="H39" ca="1">IF(A39="","",SUMPRODUCT(--(RawData[Telecaller Name]=A39),--ISNUMBER(SEARCH("Warm Status Mismatch",RawData[Error Type])))+SUMPRODUCT(--(RawData[Telecaller Name]=A39),--ISNUMBER(SEARCH("CRM Status Mismatch",RawData[Error Type])))+SUMPRODUCT(--(RawData[Telecaller Name]=A39),--ISNUMBER(SEARCH("Customer Location Not Captured",RawData[Error Type]))))</f>
        <v/>
      </c>
    </row>
    <row r="40" spans="1:8" x14ac:dyDescent="0.25">
      <c r="A40" t="str" cm="1">
        <f t="array" aca="1" ref="A40" ca="1">IFERROR(_xlfn.LET(_xlpm.n,_xlfn.UNIQUE(_xlfn._xlws.FILTER(RawData[Telecaller Name],RawData[Telecaller Name]&lt;&gt;"")),_xlpm.a,1-COUNTIFS(RawData[Telecaller Name],_xlpm.n,RawData[Error Flag],1)/COUNTIF(RawData[Telecaller Name],_xlpm.n),INDEX(_xlfn.SORTBY(_xlpm.n,_xlpm.a,-1),ROWS(A$6:A40))),"")</f>
        <v/>
      </c>
      <c r="B40" t="str">
        <f ca="1">IF(A40="","",COUNTIF(RawData[Telecaller Name],A40))</f>
        <v/>
      </c>
      <c r="C40" t="str">
        <f ca="1">IF(A40="","",MAX(0,B40-COUNTIFS(RawData[Telecaller Name],A40,RawData[Error Flag],"&gt;0")))</f>
        <v/>
      </c>
      <c r="D40" t="str">
        <f ca="1">IF(A40="","",SUMIFS(RawData[Error Flag],RawData[Telecaller Name],A40))</f>
        <v/>
      </c>
      <c r="E40" s="9" t="str">
        <f t="shared" ca="1" si="0"/>
        <v/>
      </c>
      <c r="F40" t="str">
        <f t="shared" ca="1" si="1"/>
        <v/>
      </c>
      <c r="G40" t="str" cm="1">
        <f t="array" aca="1" ref="G40" ca="1">IF(A40="","",SUMPRODUCT(--(RawData[Telecaller Name]=A40),--(ISNUMBER(SEARCH("Wrong Lead Status",RawData[Error Type]))+ISNUMBER(SEARCH("RNR Classification Error",RawData[Error Type]))+ISNUMBER(SEARCH("Follow-up Error",RawData[Error Type]))&gt;0)))</f>
        <v/>
      </c>
      <c r="H40" t="str" cm="1">
        <f t="array" aca="1" ref="H40" ca="1">IF(A40="","",SUMPRODUCT(--(RawData[Telecaller Name]=A40),--ISNUMBER(SEARCH("Warm Status Mismatch",RawData[Error Type])))+SUMPRODUCT(--(RawData[Telecaller Name]=A40),--ISNUMBER(SEARCH("CRM Status Mismatch",RawData[Error Type])))+SUMPRODUCT(--(RawData[Telecaller Name]=A40),--ISNUMBER(SEARCH("Customer Location Not Captured",RawData[Error Type]))))</f>
        <v/>
      </c>
    </row>
    <row r="41" spans="1:8" x14ac:dyDescent="0.25">
      <c r="A41" t="str" cm="1">
        <f t="array" aca="1" ref="A41" ca="1">IFERROR(_xlfn.LET(_xlpm.n,_xlfn.UNIQUE(_xlfn._xlws.FILTER(RawData[Telecaller Name],RawData[Telecaller Name]&lt;&gt;"")),_xlpm.a,1-COUNTIFS(RawData[Telecaller Name],_xlpm.n,RawData[Error Flag],1)/COUNTIF(RawData[Telecaller Name],_xlpm.n),INDEX(_xlfn.SORTBY(_xlpm.n,_xlpm.a,-1),ROWS(A$6:A41))),"")</f>
        <v/>
      </c>
      <c r="B41" t="str">
        <f ca="1">IF(A41="","",COUNTIF(RawData[Telecaller Name],A41))</f>
        <v/>
      </c>
      <c r="C41" t="str">
        <f ca="1">IF(A41="","",MAX(0,B41-COUNTIFS(RawData[Telecaller Name],A41,RawData[Error Flag],"&gt;0")))</f>
        <v/>
      </c>
      <c r="D41" t="str">
        <f ca="1">IF(A41="","",SUMIFS(RawData[Error Flag],RawData[Telecaller Name],A41))</f>
        <v/>
      </c>
      <c r="E41" s="9" t="str">
        <f t="shared" ca="1" si="0"/>
        <v/>
      </c>
      <c r="F41" t="str">
        <f t="shared" ca="1" si="1"/>
        <v/>
      </c>
      <c r="G41" t="str" cm="1">
        <f t="array" aca="1" ref="G41" ca="1">IF(A41="","",SUMPRODUCT(--(RawData[Telecaller Name]=A41),--(ISNUMBER(SEARCH("Wrong Lead Status",RawData[Error Type]))+ISNUMBER(SEARCH("RNR Classification Error",RawData[Error Type]))+ISNUMBER(SEARCH("Follow-up Error",RawData[Error Type]))&gt;0)))</f>
        <v/>
      </c>
      <c r="H41" t="str" cm="1">
        <f t="array" aca="1" ref="H41" ca="1">IF(A41="","",SUMPRODUCT(--(RawData[Telecaller Name]=A41),--ISNUMBER(SEARCH("Warm Status Mismatch",RawData[Error Type])))+SUMPRODUCT(--(RawData[Telecaller Name]=A41),--ISNUMBER(SEARCH("CRM Status Mismatch",RawData[Error Type])))+SUMPRODUCT(--(RawData[Telecaller Name]=A41),--ISNUMBER(SEARCH("Customer Location Not Captured",RawData[Error Type]))))</f>
        <v/>
      </c>
    </row>
    <row r="42" spans="1:8" x14ac:dyDescent="0.25">
      <c r="A42" t="str" cm="1">
        <f t="array" aca="1" ref="A42" ca="1">IFERROR(_xlfn.LET(_xlpm.n,_xlfn.UNIQUE(_xlfn._xlws.FILTER(RawData[Telecaller Name],RawData[Telecaller Name]&lt;&gt;"")),_xlpm.a,1-COUNTIFS(RawData[Telecaller Name],_xlpm.n,RawData[Error Flag],1)/COUNTIF(RawData[Telecaller Name],_xlpm.n),INDEX(_xlfn.SORTBY(_xlpm.n,_xlpm.a,-1),ROWS(A$6:A42))),"")</f>
        <v/>
      </c>
      <c r="B42" t="str">
        <f ca="1">IF(A42="","",COUNTIF(RawData[Telecaller Name],A42))</f>
        <v/>
      </c>
      <c r="C42" t="str">
        <f ca="1">IF(A42="","",MAX(0,B42-COUNTIFS(RawData[Telecaller Name],A42,RawData[Error Flag],"&gt;0")))</f>
        <v/>
      </c>
      <c r="D42" t="str">
        <f ca="1">IF(A42="","",SUMIFS(RawData[Error Flag],RawData[Telecaller Name],A42))</f>
        <v/>
      </c>
      <c r="E42" s="9" t="str">
        <f t="shared" ca="1" si="0"/>
        <v/>
      </c>
      <c r="F42" t="str">
        <f t="shared" ca="1" si="1"/>
        <v/>
      </c>
      <c r="G42" t="str" cm="1">
        <f t="array" aca="1" ref="G42" ca="1">IF(A42="","",SUMPRODUCT(--(RawData[Telecaller Name]=A42),--(ISNUMBER(SEARCH("Wrong Lead Status",RawData[Error Type]))+ISNUMBER(SEARCH("RNR Classification Error",RawData[Error Type]))+ISNUMBER(SEARCH("Follow-up Error",RawData[Error Type]))&gt;0)))</f>
        <v/>
      </c>
      <c r="H42" t="str" cm="1">
        <f t="array" aca="1" ref="H42" ca="1">IF(A42="","",SUMPRODUCT(--(RawData[Telecaller Name]=A42),--ISNUMBER(SEARCH("Warm Status Mismatch",RawData[Error Type])))+SUMPRODUCT(--(RawData[Telecaller Name]=A42),--ISNUMBER(SEARCH("CRM Status Mismatch",RawData[Error Type])))+SUMPRODUCT(--(RawData[Telecaller Name]=A42),--ISNUMBER(SEARCH("Customer Location Not Captured",RawData[Error Type]))))</f>
        <v/>
      </c>
    </row>
    <row r="43" spans="1:8" x14ac:dyDescent="0.25">
      <c r="A43" t="str" cm="1">
        <f t="array" aca="1" ref="A43" ca="1">IFERROR(_xlfn.LET(_xlpm.n,_xlfn.UNIQUE(_xlfn._xlws.FILTER(RawData[Telecaller Name],RawData[Telecaller Name]&lt;&gt;"")),_xlpm.a,1-COUNTIFS(RawData[Telecaller Name],_xlpm.n,RawData[Error Flag],1)/COUNTIF(RawData[Telecaller Name],_xlpm.n),INDEX(_xlfn.SORTBY(_xlpm.n,_xlpm.a,-1),ROWS(A$6:A43))),"")</f>
        <v/>
      </c>
      <c r="B43" t="str">
        <f ca="1">IF(A43="","",COUNTIF(RawData[Telecaller Name],A43))</f>
        <v/>
      </c>
      <c r="C43" t="str">
        <f ca="1">IF(A43="","",MAX(0,B43-COUNTIFS(RawData[Telecaller Name],A43,RawData[Error Flag],"&gt;0")))</f>
        <v/>
      </c>
      <c r="D43" t="str">
        <f ca="1">IF(A43="","",SUMIFS(RawData[Error Flag],RawData[Telecaller Name],A43))</f>
        <v/>
      </c>
      <c r="E43" s="9" t="str">
        <f t="shared" ca="1" si="0"/>
        <v/>
      </c>
      <c r="F43" t="str">
        <f t="shared" ca="1" si="1"/>
        <v/>
      </c>
      <c r="G43" t="str" cm="1">
        <f t="array" aca="1" ref="G43" ca="1">IF(A43="","",SUMPRODUCT(--(RawData[Telecaller Name]=A43),--(ISNUMBER(SEARCH("Wrong Lead Status",RawData[Error Type]))+ISNUMBER(SEARCH("RNR Classification Error",RawData[Error Type]))+ISNUMBER(SEARCH("Follow-up Error",RawData[Error Type]))&gt;0)))</f>
        <v/>
      </c>
      <c r="H43" t="str" cm="1">
        <f t="array" aca="1" ref="H43" ca="1">IF(A43="","",SUMPRODUCT(--(RawData[Telecaller Name]=A43),--ISNUMBER(SEARCH("Warm Status Mismatch",RawData[Error Type])))+SUMPRODUCT(--(RawData[Telecaller Name]=A43),--ISNUMBER(SEARCH("CRM Status Mismatch",RawData[Error Type])))+SUMPRODUCT(--(RawData[Telecaller Name]=A43),--ISNUMBER(SEARCH("Customer Location Not Captured",RawData[Error Type]))))</f>
        <v/>
      </c>
    </row>
    <row r="44" spans="1:8" x14ac:dyDescent="0.25">
      <c r="A44" t="str" cm="1">
        <f t="array" aca="1" ref="A44" ca="1">IFERROR(_xlfn.LET(_xlpm.n,_xlfn.UNIQUE(_xlfn._xlws.FILTER(RawData[Telecaller Name],RawData[Telecaller Name]&lt;&gt;"")),_xlpm.a,1-COUNTIFS(RawData[Telecaller Name],_xlpm.n,RawData[Error Flag],1)/COUNTIF(RawData[Telecaller Name],_xlpm.n),INDEX(_xlfn.SORTBY(_xlpm.n,_xlpm.a,-1),ROWS(A$6:A44))),"")</f>
        <v/>
      </c>
      <c r="B44" t="str">
        <f ca="1">IF(A44="","",COUNTIF(RawData[Telecaller Name],A44))</f>
        <v/>
      </c>
      <c r="C44" t="str">
        <f ca="1">IF(A44="","",MAX(0,B44-COUNTIFS(RawData[Telecaller Name],A44,RawData[Error Flag],"&gt;0")))</f>
        <v/>
      </c>
      <c r="D44" t="str">
        <f ca="1">IF(A44="","",SUMIFS(RawData[Error Flag],RawData[Telecaller Name],A44))</f>
        <v/>
      </c>
      <c r="E44" s="9" t="str">
        <f t="shared" ca="1" si="0"/>
        <v/>
      </c>
      <c r="F44" t="str">
        <f t="shared" ca="1" si="1"/>
        <v/>
      </c>
      <c r="G44" t="str" cm="1">
        <f t="array" aca="1" ref="G44" ca="1">IF(A44="","",SUMPRODUCT(--(RawData[Telecaller Name]=A44),--(ISNUMBER(SEARCH("Wrong Lead Status",RawData[Error Type]))+ISNUMBER(SEARCH("RNR Classification Error",RawData[Error Type]))+ISNUMBER(SEARCH("Follow-up Error",RawData[Error Type]))&gt;0)))</f>
        <v/>
      </c>
      <c r="H44" t="str" cm="1">
        <f t="array" aca="1" ref="H44" ca="1">IF(A44="","",SUMPRODUCT(--(RawData[Telecaller Name]=A44),--ISNUMBER(SEARCH("Warm Status Mismatch",RawData[Error Type])))+SUMPRODUCT(--(RawData[Telecaller Name]=A44),--ISNUMBER(SEARCH("CRM Status Mismatch",RawData[Error Type])))+SUMPRODUCT(--(RawData[Telecaller Name]=A44),--ISNUMBER(SEARCH("Customer Location Not Captured",RawData[Error Type]))))</f>
        <v/>
      </c>
    </row>
    <row r="45" spans="1:8" x14ac:dyDescent="0.25">
      <c r="A45" t="str" cm="1">
        <f t="array" aca="1" ref="A45" ca="1">IFERROR(_xlfn.LET(_xlpm.n,_xlfn.UNIQUE(_xlfn._xlws.FILTER(RawData[Telecaller Name],RawData[Telecaller Name]&lt;&gt;"")),_xlpm.a,1-COUNTIFS(RawData[Telecaller Name],_xlpm.n,RawData[Error Flag],1)/COUNTIF(RawData[Telecaller Name],_xlpm.n),INDEX(_xlfn.SORTBY(_xlpm.n,_xlpm.a,-1),ROWS(A$6:A45))),"")</f>
        <v/>
      </c>
      <c r="B45" t="str">
        <f ca="1">IF(A45="","",COUNTIF(RawData[Telecaller Name],A45))</f>
        <v/>
      </c>
      <c r="C45" t="str">
        <f ca="1">IF(A45="","",MAX(0,B45-COUNTIFS(RawData[Telecaller Name],A45,RawData[Error Flag],"&gt;0")))</f>
        <v/>
      </c>
      <c r="D45" t="str">
        <f ca="1">IF(A45="","",SUMIFS(RawData[Error Flag],RawData[Telecaller Name],A45))</f>
        <v/>
      </c>
      <c r="E45" s="9" t="str">
        <f t="shared" ca="1" si="0"/>
        <v/>
      </c>
      <c r="F45" t="str">
        <f t="shared" ca="1" si="1"/>
        <v/>
      </c>
      <c r="G45" t="str" cm="1">
        <f t="array" aca="1" ref="G45" ca="1">IF(A45="","",SUMPRODUCT(--(RawData[Telecaller Name]=A45),--(ISNUMBER(SEARCH("Wrong Lead Status",RawData[Error Type]))+ISNUMBER(SEARCH("RNR Classification Error",RawData[Error Type]))+ISNUMBER(SEARCH("Follow-up Error",RawData[Error Type]))&gt;0)))</f>
        <v/>
      </c>
      <c r="H45" t="str" cm="1">
        <f t="array" aca="1" ref="H45" ca="1">IF(A45="","",SUMPRODUCT(--(RawData[Telecaller Name]=A45),--ISNUMBER(SEARCH("Warm Status Mismatch",RawData[Error Type])))+SUMPRODUCT(--(RawData[Telecaller Name]=A45),--ISNUMBER(SEARCH("CRM Status Mismatch",RawData[Error Type])))+SUMPRODUCT(--(RawData[Telecaller Name]=A45),--ISNUMBER(SEARCH("Customer Location Not Captured",RawData[Error Type]))))</f>
        <v/>
      </c>
    </row>
    <row r="46" spans="1:8" x14ac:dyDescent="0.25">
      <c r="A46" t="str" cm="1">
        <f t="array" aca="1" ref="A46" ca="1">IFERROR(_xlfn.LET(_xlpm.n,_xlfn.UNIQUE(_xlfn._xlws.FILTER(RawData[Telecaller Name],RawData[Telecaller Name]&lt;&gt;"")),_xlpm.a,1-COUNTIFS(RawData[Telecaller Name],_xlpm.n,RawData[Error Flag],1)/COUNTIF(RawData[Telecaller Name],_xlpm.n),INDEX(_xlfn.SORTBY(_xlpm.n,_xlpm.a,-1),ROWS(A$6:A46))),"")</f>
        <v/>
      </c>
      <c r="B46" t="str">
        <f ca="1">IF(A46="","",COUNTIF(RawData[Telecaller Name],A46))</f>
        <v/>
      </c>
      <c r="C46" t="str">
        <f ca="1">IF(A46="","",MAX(0,B46-COUNTIFS(RawData[Telecaller Name],A46,RawData[Error Flag],"&gt;0")))</f>
        <v/>
      </c>
      <c r="D46" t="str">
        <f ca="1">IF(A46="","",SUMIFS(RawData[Error Flag],RawData[Telecaller Name],A46))</f>
        <v/>
      </c>
      <c r="E46" s="9" t="str">
        <f t="shared" ca="1" si="0"/>
        <v/>
      </c>
      <c r="F46" t="str">
        <f t="shared" ca="1" si="1"/>
        <v/>
      </c>
      <c r="G46" t="str" cm="1">
        <f t="array" aca="1" ref="G46" ca="1">IF(A46="","",SUMPRODUCT(--(RawData[Telecaller Name]=A46),--(ISNUMBER(SEARCH("Wrong Lead Status",RawData[Error Type]))+ISNUMBER(SEARCH("RNR Classification Error",RawData[Error Type]))+ISNUMBER(SEARCH("Follow-up Error",RawData[Error Type]))&gt;0)))</f>
        <v/>
      </c>
      <c r="H46" t="str" cm="1">
        <f t="array" aca="1" ref="H46" ca="1">IF(A46="","",SUMPRODUCT(--(RawData[Telecaller Name]=A46),--ISNUMBER(SEARCH("Warm Status Mismatch",RawData[Error Type])))+SUMPRODUCT(--(RawData[Telecaller Name]=A46),--ISNUMBER(SEARCH("CRM Status Mismatch",RawData[Error Type])))+SUMPRODUCT(--(RawData[Telecaller Name]=A46),--ISNUMBER(SEARCH("Customer Location Not Captured",RawData[Error Type]))))</f>
        <v/>
      </c>
    </row>
    <row r="47" spans="1:8" x14ac:dyDescent="0.25">
      <c r="A47" t="str" cm="1">
        <f t="array" aca="1" ref="A47" ca="1">IFERROR(_xlfn.LET(_xlpm.n,_xlfn.UNIQUE(_xlfn._xlws.FILTER(RawData[Telecaller Name],RawData[Telecaller Name]&lt;&gt;"")),_xlpm.a,1-COUNTIFS(RawData[Telecaller Name],_xlpm.n,RawData[Error Flag],1)/COUNTIF(RawData[Telecaller Name],_xlpm.n),INDEX(_xlfn.SORTBY(_xlpm.n,_xlpm.a,-1),ROWS(A$6:A47))),"")</f>
        <v/>
      </c>
      <c r="B47" t="str">
        <f ca="1">IF(A47="","",COUNTIF(RawData[Telecaller Name],A47))</f>
        <v/>
      </c>
      <c r="C47" t="str">
        <f ca="1">IF(A47="","",MAX(0,B47-COUNTIFS(RawData[Telecaller Name],A47,RawData[Error Flag],"&gt;0")))</f>
        <v/>
      </c>
      <c r="D47" t="str">
        <f ca="1">IF(A47="","",SUMIFS(RawData[Error Flag],RawData[Telecaller Name],A47))</f>
        <v/>
      </c>
      <c r="E47" s="9" t="str">
        <f t="shared" ca="1" si="0"/>
        <v/>
      </c>
      <c r="F47" t="str">
        <f t="shared" ca="1" si="1"/>
        <v/>
      </c>
      <c r="G47" t="str" cm="1">
        <f t="array" aca="1" ref="G47" ca="1">IF(A47="","",SUMPRODUCT(--(RawData[Telecaller Name]=A47),--(ISNUMBER(SEARCH("Wrong Lead Status",RawData[Error Type]))+ISNUMBER(SEARCH("RNR Classification Error",RawData[Error Type]))+ISNUMBER(SEARCH("Follow-up Error",RawData[Error Type]))&gt;0)))</f>
        <v/>
      </c>
      <c r="H47" t="str" cm="1">
        <f t="array" aca="1" ref="H47" ca="1">IF(A47="","",SUMPRODUCT(--(RawData[Telecaller Name]=A47),--ISNUMBER(SEARCH("Warm Status Mismatch",RawData[Error Type])))+SUMPRODUCT(--(RawData[Telecaller Name]=A47),--ISNUMBER(SEARCH("CRM Status Mismatch",RawData[Error Type])))+SUMPRODUCT(--(RawData[Telecaller Name]=A47),--ISNUMBER(SEARCH("Customer Location Not Captured",RawData[Error Type]))))</f>
        <v/>
      </c>
    </row>
    <row r="48" spans="1:8" x14ac:dyDescent="0.25">
      <c r="A48" t="str" cm="1">
        <f t="array" aca="1" ref="A48" ca="1">IFERROR(_xlfn.LET(_xlpm.n,_xlfn.UNIQUE(_xlfn._xlws.FILTER(RawData[Telecaller Name],RawData[Telecaller Name]&lt;&gt;"")),_xlpm.a,1-COUNTIFS(RawData[Telecaller Name],_xlpm.n,RawData[Error Flag],1)/COUNTIF(RawData[Telecaller Name],_xlpm.n),INDEX(_xlfn.SORTBY(_xlpm.n,_xlpm.a,-1),ROWS(A$6:A48))),"")</f>
        <v/>
      </c>
      <c r="B48" t="str">
        <f ca="1">IF(A48="","",COUNTIF(RawData[Telecaller Name],A48))</f>
        <v/>
      </c>
      <c r="C48" t="str">
        <f ca="1">IF(A48="","",MAX(0,B48-COUNTIFS(RawData[Telecaller Name],A48,RawData[Error Flag],"&gt;0")))</f>
        <v/>
      </c>
      <c r="D48" t="str">
        <f ca="1">IF(A48="","",SUMIFS(RawData[Error Flag],RawData[Telecaller Name],A48))</f>
        <v/>
      </c>
      <c r="E48" s="9" t="str">
        <f t="shared" ca="1" si="0"/>
        <v/>
      </c>
      <c r="F48" t="str">
        <f t="shared" ca="1" si="1"/>
        <v/>
      </c>
      <c r="G48" t="str" cm="1">
        <f t="array" aca="1" ref="G48" ca="1">IF(A48="","",SUMPRODUCT(--(RawData[Telecaller Name]=A48),--(ISNUMBER(SEARCH("Wrong Lead Status",RawData[Error Type]))+ISNUMBER(SEARCH("RNR Classification Error",RawData[Error Type]))+ISNUMBER(SEARCH("Follow-up Error",RawData[Error Type]))&gt;0)))</f>
        <v/>
      </c>
      <c r="H48" t="str" cm="1">
        <f t="array" aca="1" ref="H48" ca="1">IF(A48="","",SUMPRODUCT(--(RawData[Telecaller Name]=A48),--ISNUMBER(SEARCH("Warm Status Mismatch",RawData[Error Type])))+SUMPRODUCT(--(RawData[Telecaller Name]=A48),--ISNUMBER(SEARCH("CRM Status Mismatch",RawData[Error Type])))+SUMPRODUCT(--(RawData[Telecaller Name]=A48),--ISNUMBER(SEARCH("Customer Location Not Captured",RawData[Error Type]))))</f>
        <v/>
      </c>
    </row>
    <row r="49" spans="1:8" x14ac:dyDescent="0.25">
      <c r="A49" t="str" cm="1">
        <f t="array" aca="1" ref="A49" ca="1">IFERROR(_xlfn.LET(_xlpm.n,_xlfn.UNIQUE(_xlfn._xlws.FILTER(RawData[Telecaller Name],RawData[Telecaller Name]&lt;&gt;"")),_xlpm.a,1-COUNTIFS(RawData[Telecaller Name],_xlpm.n,RawData[Error Flag],1)/COUNTIF(RawData[Telecaller Name],_xlpm.n),INDEX(_xlfn.SORTBY(_xlpm.n,_xlpm.a,-1),ROWS(A$6:A49))),"")</f>
        <v/>
      </c>
      <c r="B49" t="str">
        <f ca="1">IF(A49="","",COUNTIF(RawData[Telecaller Name],A49))</f>
        <v/>
      </c>
      <c r="C49" t="str">
        <f ca="1">IF(A49="","",MAX(0,B49-COUNTIFS(RawData[Telecaller Name],A49,RawData[Error Flag],"&gt;0")))</f>
        <v/>
      </c>
      <c r="D49" t="str">
        <f ca="1">IF(A49="","",SUMIFS(RawData[Error Flag],RawData[Telecaller Name],A49))</f>
        <v/>
      </c>
      <c r="E49" s="9" t="str">
        <f t="shared" ca="1" si="0"/>
        <v/>
      </c>
      <c r="F49" t="str">
        <f t="shared" ca="1" si="1"/>
        <v/>
      </c>
      <c r="G49" t="str" cm="1">
        <f t="array" aca="1" ref="G49" ca="1">IF(A49="","",SUMPRODUCT(--(RawData[Telecaller Name]=A49),--(ISNUMBER(SEARCH("Wrong Lead Status",RawData[Error Type]))+ISNUMBER(SEARCH("RNR Classification Error",RawData[Error Type]))+ISNUMBER(SEARCH("Follow-up Error",RawData[Error Type]))&gt;0)))</f>
        <v/>
      </c>
      <c r="H49" t="str" cm="1">
        <f t="array" aca="1" ref="H49" ca="1">IF(A49="","",SUMPRODUCT(--(RawData[Telecaller Name]=A49),--ISNUMBER(SEARCH("Warm Status Mismatch",RawData[Error Type])))+SUMPRODUCT(--(RawData[Telecaller Name]=A49),--ISNUMBER(SEARCH("CRM Status Mismatch",RawData[Error Type])))+SUMPRODUCT(--(RawData[Telecaller Name]=A49),--ISNUMBER(SEARCH("Customer Location Not Captured",RawData[Error Type]))))</f>
        <v/>
      </c>
    </row>
    <row r="50" spans="1:8" x14ac:dyDescent="0.25">
      <c r="A50" t="str" cm="1">
        <f t="array" aca="1" ref="A50" ca="1">IFERROR(_xlfn.LET(_xlpm.n,_xlfn.UNIQUE(_xlfn._xlws.FILTER(RawData[Telecaller Name],RawData[Telecaller Name]&lt;&gt;"")),_xlpm.a,1-COUNTIFS(RawData[Telecaller Name],_xlpm.n,RawData[Error Flag],1)/COUNTIF(RawData[Telecaller Name],_xlpm.n),INDEX(_xlfn.SORTBY(_xlpm.n,_xlpm.a,-1),ROWS(A$6:A50))),"")</f>
        <v/>
      </c>
      <c r="B50" t="str">
        <f ca="1">IF(A50="","",COUNTIF(RawData[Telecaller Name],A50))</f>
        <v/>
      </c>
      <c r="C50" t="str">
        <f ca="1">IF(A50="","",MAX(0,B50-COUNTIFS(RawData[Telecaller Name],A50,RawData[Error Flag],"&gt;0")))</f>
        <v/>
      </c>
      <c r="D50" t="str">
        <f ca="1">IF(A50="","",SUMIFS(RawData[Error Flag],RawData[Telecaller Name],A50))</f>
        <v/>
      </c>
      <c r="E50" s="9" t="str">
        <f t="shared" ca="1" si="0"/>
        <v/>
      </c>
      <c r="F50" t="str">
        <f t="shared" ca="1" si="1"/>
        <v/>
      </c>
      <c r="G50" t="str" cm="1">
        <f t="array" aca="1" ref="G50" ca="1">IF(A50="","",SUMPRODUCT(--(RawData[Telecaller Name]=A50),--(ISNUMBER(SEARCH("Wrong Lead Status",RawData[Error Type]))+ISNUMBER(SEARCH("RNR Classification Error",RawData[Error Type]))+ISNUMBER(SEARCH("Follow-up Error",RawData[Error Type]))&gt;0)))</f>
        <v/>
      </c>
      <c r="H50" t="str" cm="1">
        <f t="array" aca="1" ref="H50" ca="1">IF(A50="","",SUMPRODUCT(--(RawData[Telecaller Name]=A50),--ISNUMBER(SEARCH("Warm Status Mismatch",RawData[Error Type])))+SUMPRODUCT(--(RawData[Telecaller Name]=A50),--ISNUMBER(SEARCH("CRM Status Mismatch",RawData[Error Type])))+SUMPRODUCT(--(RawData[Telecaller Name]=A50),--ISNUMBER(SEARCH("Customer Location Not Captured",RawData[Error Type]))))</f>
        <v/>
      </c>
    </row>
    <row r="51" spans="1:8" x14ac:dyDescent="0.25">
      <c r="A51" t="str" cm="1">
        <f t="array" aca="1" ref="A51" ca="1">IFERROR(_xlfn.LET(_xlpm.n,_xlfn.UNIQUE(_xlfn._xlws.FILTER(RawData[Telecaller Name],RawData[Telecaller Name]&lt;&gt;"")),_xlpm.a,1-COUNTIFS(RawData[Telecaller Name],_xlpm.n,RawData[Error Flag],1)/COUNTIF(RawData[Telecaller Name],_xlpm.n),INDEX(_xlfn.SORTBY(_xlpm.n,_xlpm.a,-1),ROWS(A$6:A51))),"")</f>
        <v/>
      </c>
      <c r="B51" t="str">
        <f ca="1">IF(A51="","",COUNTIF(RawData[Telecaller Name],A51))</f>
        <v/>
      </c>
      <c r="C51" t="str">
        <f ca="1">IF(A51="","",MAX(0,B51-COUNTIFS(RawData[Telecaller Name],A51,RawData[Error Flag],"&gt;0")))</f>
        <v/>
      </c>
      <c r="D51" t="str">
        <f ca="1">IF(A51="","",SUMIFS(RawData[Error Flag],RawData[Telecaller Name],A51))</f>
        <v/>
      </c>
      <c r="E51" s="9" t="str">
        <f t="shared" ca="1" si="0"/>
        <v/>
      </c>
      <c r="F51" t="str">
        <f t="shared" ca="1" si="1"/>
        <v/>
      </c>
      <c r="G51" t="str" cm="1">
        <f t="array" aca="1" ref="G51" ca="1">IF(A51="","",SUMPRODUCT(--(RawData[Telecaller Name]=A51),--(ISNUMBER(SEARCH("Wrong Lead Status",RawData[Error Type]))+ISNUMBER(SEARCH("RNR Classification Error",RawData[Error Type]))+ISNUMBER(SEARCH("Follow-up Error",RawData[Error Type]))&gt;0)))</f>
        <v/>
      </c>
      <c r="H51" t="str" cm="1">
        <f t="array" aca="1" ref="H51" ca="1">IF(A51="","",SUMPRODUCT(--(RawData[Telecaller Name]=A51),--ISNUMBER(SEARCH("Warm Status Mismatch",RawData[Error Type])))+SUMPRODUCT(--(RawData[Telecaller Name]=A51),--ISNUMBER(SEARCH("CRM Status Mismatch",RawData[Error Type])))+SUMPRODUCT(--(RawData[Telecaller Name]=A51),--ISNUMBER(SEARCH("Customer Location Not Captured",RawData[Error Type]))))</f>
        <v/>
      </c>
    </row>
    <row r="52" spans="1:8" x14ac:dyDescent="0.25">
      <c r="A52" t="str" cm="1">
        <f t="array" aca="1" ref="A52" ca="1">IFERROR(_xlfn.LET(_xlpm.n,_xlfn.UNIQUE(_xlfn._xlws.FILTER(RawData[Telecaller Name],RawData[Telecaller Name]&lt;&gt;"")),_xlpm.a,1-COUNTIFS(RawData[Telecaller Name],_xlpm.n,RawData[Error Flag],1)/COUNTIF(RawData[Telecaller Name],_xlpm.n),INDEX(_xlfn.SORTBY(_xlpm.n,_xlpm.a,-1),ROWS(A$6:A52))),"")</f>
        <v/>
      </c>
      <c r="B52" t="str">
        <f ca="1">IF(A52="","",COUNTIF(RawData[Telecaller Name],A52))</f>
        <v/>
      </c>
      <c r="C52" t="str">
        <f ca="1">IF(A52="","",MAX(0,B52-COUNTIFS(RawData[Telecaller Name],A52,RawData[Error Flag],"&gt;0")))</f>
        <v/>
      </c>
      <c r="D52" t="str">
        <f ca="1">IF(A52="","",SUMIFS(RawData[Error Flag],RawData[Telecaller Name],A52))</f>
        <v/>
      </c>
      <c r="E52" s="9" t="str">
        <f t="shared" ca="1" si="0"/>
        <v/>
      </c>
      <c r="F52" t="str">
        <f t="shared" ca="1" si="1"/>
        <v/>
      </c>
      <c r="G52" t="str" cm="1">
        <f t="array" aca="1" ref="G52" ca="1">IF(A52="","",SUMPRODUCT(--(RawData[Telecaller Name]=A52),--(ISNUMBER(SEARCH("Wrong Lead Status",RawData[Error Type]))+ISNUMBER(SEARCH("RNR Classification Error",RawData[Error Type]))+ISNUMBER(SEARCH("Follow-up Error",RawData[Error Type]))&gt;0)))</f>
        <v/>
      </c>
      <c r="H52" t="str" cm="1">
        <f t="array" aca="1" ref="H52" ca="1">IF(A52="","",SUMPRODUCT(--(RawData[Telecaller Name]=A52),--ISNUMBER(SEARCH("Warm Status Mismatch",RawData[Error Type])))+SUMPRODUCT(--(RawData[Telecaller Name]=A52),--ISNUMBER(SEARCH("CRM Status Mismatch",RawData[Error Type])))+SUMPRODUCT(--(RawData[Telecaller Name]=A52),--ISNUMBER(SEARCH("Customer Location Not Captured",RawData[Error Type]))))</f>
        <v/>
      </c>
    </row>
    <row r="53" spans="1:8" x14ac:dyDescent="0.25">
      <c r="A53" t="str" cm="1">
        <f t="array" aca="1" ref="A53" ca="1">IFERROR(_xlfn.LET(_xlpm.n,_xlfn.UNIQUE(_xlfn._xlws.FILTER(RawData[Telecaller Name],RawData[Telecaller Name]&lt;&gt;"")),_xlpm.a,1-COUNTIFS(RawData[Telecaller Name],_xlpm.n,RawData[Error Flag],1)/COUNTIF(RawData[Telecaller Name],_xlpm.n),INDEX(_xlfn.SORTBY(_xlpm.n,_xlpm.a,-1),ROWS(A$6:A53))),"")</f>
        <v/>
      </c>
      <c r="B53" t="str">
        <f ca="1">IF(A53="","",COUNTIF(RawData[Telecaller Name],A53))</f>
        <v/>
      </c>
      <c r="C53" t="str">
        <f ca="1">IF(A53="","",MAX(0,B53-COUNTIFS(RawData[Telecaller Name],A53,RawData[Error Flag],"&gt;0")))</f>
        <v/>
      </c>
      <c r="D53" t="str">
        <f ca="1">IF(A53="","",SUMIFS(RawData[Error Flag],RawData[Telecaller Name],A53))</f>
        <v/>
      </c>
      <c r="E53" s="9" t="str">
        <f t="shared" ca="1" si="0"/>
        <v/>
      </c>
      <c r="F53" t="str">
        <f t="shared" ca="1" si="1"/>
        <v/>
      </c>
      <c r="G53" t="str" cm="1">
        <f t="array" aca="1" ref="G53" ca="1">IF(A53="","",SUMPRODUCT(--(RawData[Telecaller Name]=A53),--(ISNUMBER(SEARCH("Wrong Lead Status",RawData[Error Type]))+ISNUMBER(SEARCH("RNR Classification Error",RawData[Error Type]))+ISNUMBER(SEARCH("Follow-up Error",RawData[Error Type]))&gt;0)))</f>
        <v/>
      </c>
      <c r="H53" t="str" cm="1">
        <f t="array" aca="1" ref="H53" ca="1">IF(A53="","",SUMPRODUCT(--(RawData[Telecaller Name]=A53),--ISNUMBER(SEARCH("Warm Status Mismatch",RawData[Error Type])))+SUMPRODUCT(--(RawData[Telecaller Name]=A53),--ISNUMBER(SEARCH("CRM Status Mismatch",RawData[Error Type])))+SUMPRODUCT(--(RawData[Telecaller Name]=A53),--ISNUMBER(SEARCH("Customer Location Not Captured",RawData[Error Type]))))</f>
        <v/>
      </c>
    </row>
    <row r="54" spans="1:8" x14ac:dyDescent="0.25">
      <c r="A54" t="str" cm="1">
        <f t="array" aca="1" ref="A54" ca="1">IFERROR(_xlfn.LET(_xlpm.n,_xlfn.UNIQUE(_xlfn._xlws.FILTER(RawData[Telecaller Name],RawData[Telecaller Name]&lt;&gt;"")),_xlpm.a,1-COUNTIFS(RawData[Telecaller Name],_xlpm.n,RawData[Error Flag],1)/COUNTIF(RawData[Telecaller Name],_xlpm.n),INDEX(_xlfn.SORTBY(_xlpm.n,_xlpm.a,-1),ROWS(A$6:A54))),"")</f>
        <v/>
      </c>
      <c r="B54" t="str">
        <f ca="1">IF(A54="","",COUNTIF(RawData[Telecaller Name],A54))</f>
        <v/>
      </c>
      <c r="C54" t="str">
        <f ca="1">IF(A54="","",MAX(0,B54-COUNTIFS(RawData[Telecaller Name],A54,RawData[Error Flag],"&gt;0")))</f>
        <v/>
      </c>
      <c r="D54" t="str">
        <f ca="1">IF(A54="","",SUMIFS(RawData[Error Flag],RawData[Telecaller Name],A54))</f>
        <v/>
      </c>
      <c r="E54" s="9" t="str">
        <f t="shared" ca="1" si="0"/>
        <v/>
      </c>
      <c r="F54" t="str">
        <f t="shared" ca="1" si="1"/>
        <v/>
      </c>
      <c r="G54" t="str" cm="1">
        <f t="array" aca="1" ref="G54" ca="1">IF(A54="","",SUMPRODUCT(--(RawData[Telecaller Name]=A54),--(ISNUMBER(SEARCH("Wrong Lead Status",RawData[Error Type]))+ISNUMBER(SEARCH("RNR Classification Error",RawData[Error Type]))+ISNUMBER(SEARCH("Follow-up Error",RawData[Error Type]))&gt;0)))</f>
        <v/>
      </c>
      <c r="H54" t="str" cm="1">
        <f t="array" aca="1" ref="H54" ca="1">IF(A54="","",SUMPRODUCT(--(RawData[Telecaller Name]=A54),--ISNUMBER(SEARCH("Warm Status Mismatch",RawData[Error Type])))+SUMPRODUCT(--(RawData[Telecaller Name]=A54),--ISNUMBER(SEARCH("CRM Status Mismatch",RawData[Error Type])))+SUMPRODUCT(--(RawData[Telecaller Name]=A54),--ISNUMBER(SEARCH("Customer Location Not Captured",RawData[Error Type]))))</f>
        <v/>
      </c>
    </row>
    <row r="55" spans="1:8" x14ac:dyDescent="0.25">
      <c r="A55" t="str" cm="1">
        <f t="array" aca="1" ref="A55" ca="1">IFERROR(_xlfn.LET(_xlpm.n,_xlfn.UNIQUE(_xlfn._xlws.FILTER(RawData[Telecaller Name],RawData[Telecaller Name]&lt;&gt;"")),_xlpm.a,1-COUNTIFS(RawData[Telecaller Name],_xlpm.n,RawData[Error Flag],1)/COUNTIF(RawData[Telecaller Name],_xlpm.n),INDEX(_xlfn.SORTBY(_xlpm.n,_xlpm.a,-1),ROWS(A$6:A105))),"")</f>
        <v/>
      </c>
      <c r="B55" t="str">
        <f ca="1">IF(A55="","",COUNTIF(RawData[Telecaller Name],A55))</f>
        <v/>
      </c>
      <c r="C55" t="str">
        <f ca="1">IF(A55="","",MAX(0,B55-COUNTIFS(RawData[Telecaller Name],A55,RawData[Error Flag],"&gt;0")))</f>
        <v/>
      </c>
      <c r="D55" t="str">
        <f ca="1">IF(A55="","",SUMIFS(RawData[Error Flag],RawData[Telecaller Name],A55))</f>
        <v/>
      </c>
      <c r="E55" s="9" t="str">
        <f t="shared" ca="1" si="0"/>
        <v/>
      </c>
      <c r="F55" t="str">
        <f t="shared" ca="1" si="1"/>
        <v/>
      </c>
      <c r="G55" t="str" cm="1">
        <f t="array" aca="1" ref="G55" ca="1">IF(A55="","",SUMPRODUCT(--(RawData[Telecaller Name]=A55),--(ISNUMBER(SEARCH("Wrong Lead Status",RawData[Error Type]))+ISNUMBER(SEARCH("RNR Classification Error",RawData[Error Type]))+ISNUMBER(SEARCH("Follow-up Error",RawData[Error Type]))&gt;0)))</f>
        <v/>
      </c>
      <c r="H55" t="str" cm="1">
        <f t="array" aca="1" ref="H55" ca="1">IF(A55="","",SUMPRODUCT(--(RawData[Telecaller Name]=A55),--ISNUMBER(SEARCH("Warm Status Mismatch",RawData[Error Type])))+SUMPRODUCT(--(RawData[Telecaller Name]=A55),--ISNUMBER(SEARCH("CRM Status Mismatch",RawData[Error Type])))+SUMPRODUCT(--(RawData[Telecaller Name]=A55),--ISNUMBER(SEARCH("Customer Location Not Captured",RawData[Error Type]))))</f>
        <v/>
      </c>
    </row>
    <row r="56" spans="1:8" x14ac:dyDescent="0.25">
      <c r="A56" t="str" cm="1">
        <f t="array" aca="1" ref="A56" ca="1">IFERROR(_xlfn.LET(_xlpm.n,_xlfn.UNIQUE(_xlfn._xlws.FILTER(RawData[Telecaller Name],RawData[Telecaller Name]&lt;&gt;"")),_xlpm.a,1-COUNTIFS(RawData[Telecaller Name],_xlpm.n,RawData[Error Flag],1)/COUNTIF(RawData[Telecaller Name],_xlpm.n),INDEX(_xlfn.SORTBY(_xlpm.n,_xlpm.a,-1),ROWS(A$6:A56))),"")</f>
        <v/>
      </c>
      <c r="B56" t="str">
        <f ca="1">IF(A56="","",COUNTIF(RawData[Telecaller Name],A56))</f>
        <v/>
      </c>
      <c r="C56" t="str">
        <f ca="1">IF(A56="","",MAX(0,B56-COUNTIFS(RawData[Telecaller Name],A56,RawData[Error Flag],"&gt;0")))</f>
        <v/>
      </c>
      <c r="D56" t="str">
        <f ca="1">IF(A56="","",SUMIFS(RawData[Error Flag],RawData[Telecaller Name],A56))</f>
        <v/>
      </c>
      <c r="E56" s="9" t="str">
        <f t="shared" ca="1" si="0"/>
        <v/>
      </c>
      <c r="F56" t="str">
        <f t="shared" ca="1" si="1"/>
        <v/>
      </c>
      <c r="G56" t="str" cm="1">
        <f t="array" aca="1" ref="G56" ca="1">IF(A56="","",SUMPRODUCT(--(RawData[Telecaller Name]=A56),--(ISNUMBER(SEARCH("Wrong Lead Status",RawData[Error Type]))+ISNUMBER(SEARCH("RNR Classification Error",RawData[Error Type]))+ISNUMBER(SEARCH("Follow-up Error",RawData[Error Type]))&gt;0)))</f>
        <v/>
      </c>
      <c r="H56" t="str" cm="1">
        <f t="array" aca="1" ref="H56" ca="1">IF(A56="","",SUMPRODUCT(--(RawData[Telecaller Name]=A56),--ISNUMBER(SEARCH("Warm Status Mismatch",RawData[Error Type])))+SUMPRODUCT(--(RawData[Telecaller Name]=A56),--ISNUMBER(SEARCH("CRM Status Mismatch",RawData[Error Type])))+SUMPRODUCT(--(RawData[Telecaller Name]=A56),--ISNUMBER(SEARCH("Customer Location Not Captured",RawData[Error Type]))))</f>
        <v/>
      </c>
    </row>
    <row r="57" spans="1:8" x14ac:dyDescent="0.25">
      <c r="A57" t="str" cm="1">
        <f t="array" aca="1" ref="A57" ca="1">IFERROR(_xlfn.LET(_xlpm.n,_xlfn.UNIQUE(_xlfn._xlws.FILTER(RawData[Telecaller Name],RawData[Telecaller Name]&lt;&gt;"")),_xlpm.a,1-COUNTIFS(RawData[Telecaller Name],_xlpm.n,RawData[Error Flag],1)/COUNTIF(RawData[Telecaller Name],_xlpm.n),INDEX(_xlfn.SORTBY(_xlpm.n,_xlpm.a,-1),ROWS(A$6:A57))),"")</f>
        <v/>
      </c>
      <c r="B57" t="str">
        <f ca="1">IF(A57="","",COUNTIF(RawData[Telecaller Name],A57))</f>
        <v/>
      </c>
      <c r="C57" t="str">
        <f ca="1">IF(A57="","",MAX(0,B57-COUNTIFS(RawData[Telecaller Name],A57,RawData[Error Flag],"&gt;0")))</f>
        <v/>
      </c>
      <c r="D57" t="str">
        <f ca="1">IF(A57="","",SUMIFS(RawData[Error Flag],RawData[Telecaller Name],A57))</f>
        <v/>
      </c>
      <c r="E57" s="9" t="str">
        <f t="shared" ca="1" si="0"/>
        <v/>
      </c>
      <c r="F57" t="str">
        <f t="shared" ca="1" si="1"/>
        <v/>
      </c>
      <c r="G57" t="str" cm="1">
        <f t="array" aca="1" ref="G57" ca="1">IF(A57="","",SUMPRODUCT(--(RawData[Telecaller Name]=A57),--(ISNUMBER(SEARCH("Wrong Lead Status",RawData[Error Type]))+ISNUMBER(SEARCH("RNR Classification Error",RawData[Error Type]))+ISNUMBER(SEARCH("Follow-up Error",RawData[Error Type]))&gt;0)))</f>
        <v/>
      </c>
      <c r="H57" t="str" cm="1">
        <f t="array" aca="1" ref="H57" ca="1">IF(A57="","",SUMPRODUCT(--(RawData[Telecaller Name]=A57),--ISNUMBER(SEARCH("Warm Status Mismatch",RawData[Error Type])))+SUMPRODUCT(--(RawData[Telecaller Name]=A57),--ISNUMBER(SEARCH("CRM Status Mismatch",RawData[Error Type])))+SUMPRODUCT(--(RawData[Telecaller Name]=A57),--ISNUMBER(SEARCH("Customer Location Not Captured",RawData[Error Type]))))</f>
        <v/>
      </c>
    </row>
    <row r="58" spans="1:8" x14ac:dyDescent="0.25">
      <c r="A58" t="str" cm="1">
        <f t="array" aca="1" ref="A58" ca="1">IFERROR(_xlfn.LET(_xlpm.n,_xlfn.UNIQUE(_xlfn._xlws.FILTER(RawData[Telecaller Name],RawData[Telecaller Name]&lt;&gt;"")),_xlpm.a,1-COUNTIFS(RawData[Telecaller Name],_xlpm.n,RawData[Error Flag],1)/COUNTIF(RawData[Telecaller Name],_xlpm.n),INDEX(_xlfn.SORTBY(_xlpm.n,_xlpm.a,-1),ROWS(A$6:A58))),"")</f>
        <v/>
      </c>
      <c r="B58" t="str">
        <f ca="1">IF(A58="","",COUNTIF(RawData[Telecaller Name],A58))</f>
        <v/>
      </c>
      <c r="C58" t="str">
        <f ca="1">IF(A58="","",MAX(0,B58-COUNTIFS(RawData[Telecaller Name],A58,RawData[Error Flag],"&gt;0")))</f>
        <v/>
      </c>
      <c r="D58" t="str">
        <f ca="1">IF(A58="","",SUMIFS(RawData[Error Flag],RawData[Telecaller Name],A58))</f>
        <v/>
      </c>
      <c r="E58" s="9" t="str">
        <f t="shared" ca="1" si="0"/>
        <v/>
      </c>
      <c r="F58" t="str">
        <f t="shared" ca="1" si="1"/>
        <v/>
      </c>
      <c r="G58" t="str" cm="1">
        <f t="array" aca="1" ref="G58" ca="1">IF(A58="","",SUMPRODUCT(--(RawData[Telecaller Name]=A58),--(ISNUMBER(SEARCH("Wrong Lead Status",RawData[Error Type]))+ISNUMBER(SEARCH("RNR Classification Error",RawData[Error Type]))+ISNUMBER(SEARCH("Follow-up Error",RawData[Error Type]))&gt;0)))</f>
        <v/>
      </c>
      <c r="H58" t="str" cm="1">
        <f t="array" aca="1" ref="H58" ca="1">IF(A58="","",SUMPRODUCT(--(RawData[Telecaller Name]=A58),--ISNUMBER(SEARCH("Warm Status Mismatch",RawData[Error Type])))+SUMPRODUCT(--(RawData[Telecaller Name]=A58),--ISNUMBER(SEARCH("CRM Status Mismatch",RawData[Error Type])))+SUMPRODUCT(--(RawData[Telecaller Name]=A58),--ISNUMBER(SEARCH("Customer Location Not Captured",RawData[Error Type]))))</f>
        <v/>
      </c>
    </row>
    <row r="59" spans="1:8" x14ac:dyDescent="0.25">
      <c r="A59" t="str" cm="1">
        <f t="array" aca="1" ref="A59" ca="1">IFERROR(_xlfn.LET(_xlpm.n,_xlfn.UNIQUE(_xlfn._xlws.FILTER(RawData[Telecaller Name],RawData[Telecaller Name]&lt;&gt;"")),_xlpm.a,1-COUNTIFS(RawData[Telecaller Name],_xlpm.n,RawData[Error Flag],1)/COUNTIF(RawData[Telecaller Name],_xlpm.n),INDEX(_xlfn.SORTBY(_xlpm.n,_xlpm.a,-1),ROWS(A$6:A59))),"")</f>
        <v/>
      </c>
      <c r="B59" t="str">
        <f ca="1">IF(A59="","",COUNTIF(RawData[Telecaller Name],A59))</f>
        <v/>
      </c>
      <c r="C59" t="str">
        <f ca="1">IF(A59="","",MAX(0,B59-COUNTIFS(RawData[Telecaller Name],A59,RawData[Error Flag],"&gt;0")))</f>
        <v/>
      </c>
      <c r="D59" t="str">
        <f ca="1">IF(A59="","",SUMIFS(RawData[Error Flag],RawData[Telecaller Name],A59))</f>
        <v/>
      </c>
      <c r="E59" s="9" t="str">
        <f t="shared" ca="1" si="0"/>
        <v/>
      </c>
      <c r="F59" t="str">
        <f t="shared" ca="1" si="1"/>
        <v/>
      </c>
      <c r="G59" t="str" cm="1">
        <f t="array" aca="1" ref="G59" ca="1">IF(A59="","",SUMPRODUCT(--(RawData[Telecaller Name]=A59),--(ISNUMBER(SEARCH("Wrong Lead Status",RawData[Error Type]))+ISNUMBER(SEARCH("RNR Classification Error",RawData[Error Type]))+ISNUMBER(SEARCH("Follow-up Error",RawData[Error Type]))&gt;0)))</f>
        <v/>
      </c>
      <c r="H59" t="str" cm="1">
        <f t="array" aca="1" ref="H59" ca="1">IF(A59="","",SUMPRODUCT(--(RawData[Telecaller Name]=A59),--ISNUMBER(SEARCH("Warm Status Mismatch",RawData[Error Type])))+SUMPRODUCT(--(RawData[Telecaller Name]=A59),--ISNUMBER(SEARCH("CRM Status Mismatch",RawData[Error Type])))+SUMPRODUCT(--(RawData[Telecaller Name]=A59),--ISNUMBER(SEARCH("Customer Location Not Captured",RawData[Error Type]))))</f>
        <v/>
      </c>
    </row>
    <row r="60" spans="1:8" x14ac:dyDescent="0.25">
      <c r="A60" t="str" cm="1">
        <f t="array" aca="1" ref="A60" ca="1">IFERROR(_xlfn.LET(_xlpm.n,_xlfn.UNIQUE(_xlfn._xlws.FILTER(RawData[Telecaller Name],RawData[Telecaller Name]&lt;&gt;"")),_xlpm.a,1-COUNTIFS(RawData[Telecaller Name],_xlpm.n,RawData[Error Flag],1)/COUNTIF(RawData[Telecaller Name],_xlpm.n),INDEX(_xlfn.SORTBY(_xlpm.n,_xlpm.a,-1),ROWS(A$6:A60))),"")</f>
        <v/>
      </c>
      <c r="B60" t="str">
        <f ca="1">IF(A60="","",COUNTIF(RawData[Telecaller Name],A60))</f>
        <v/>
      </c>
      <c r="C60" t="str">
        <f ca="1">IF(A60="","",MAX(0,B60-COUNTIFS(RawData[Telecaller Name],A60,RawData[Error Flag],"&gt;0")))</f>
        <v/>
      </c>
      <c r="D60" t="str">
        <f ca="1">IF(A60="","",SUMIFS(RawData[Error Flag],RawData[Telecaller Name],A60))</f>
        <v/>
      </c>
      <c r="E60" s="9" t="str">
        <f t="shared" ca="1" si="0"/>
        <v/>
      </c>
      <c r="F60" t="str">
        <f t="shared" ca="1" si="1"/>
        <v/>
      </c>
      <c r="G60" t="str" cm="1">
        <f t="array" aca="1" ref="G60" ca="1">IF(A60="","",SUMPRODUCT(--(RawData[Telecaller Name]=A60),--(ISNUMBER(SEARCH("Wrong Lead Status",RawData[Error Type]))+ISNUMBER(SEARCH("RNR Classification Error",RawData[Error Type]))+ISNUMBER(SEARCH("Follow-up Error",RawData[Error Type]))&gt;0)))</f>
        <v/>
      </c>
      <c r="H60" t="str" cm="1">
        <f t="array" aca="1" ref="H60" ca="1">IF(A60="","",SUMPRODUCT(--(RawData[Telecaller Name]=A60),--ISNUMBER(SEARCH("Warm Status Mismatch",RawData[Error Type])))+SUMPRODUCT(--(RawData[Telecaller Name]=A60),--ISNUMBER(SEARCH("CRM Status Mismatch",RawData[Error Type])))+SUMPRODUCT(--(RawData[Telecaller Name]=A60),--ISNUMBER(SEARCH("Customer Location Not Captured",RawData[Error Type]))))</f>
        <v/>
      </c>
    </row>
    <row r="61" spans="1:8" x14ac:dyDescent="0.25">
      <c r="A61" t="str" cm="1">
        <f t="array" aca="1" ref="A61" ca="1">IFERROR(_xlfn.LET(_xlpm.n,_xlfn.UNIQUE(_xlfn._xlws.FILTER(RawData[Telecaller Name],RawData[Telecaller Name]&lt;&gt;"")),_xlpm.a,1-COUNTIFS(RawData[Telecaller Name],_xlpm.n,RawData[Error Flag],1)/COUNTIF(RawData[Telecaller Name],_xlpm.n),INDEX(_xlfn.SORTBY(_xlpm.n,_xlpm.a,-1),ROWS(A$6:A61))),"")</f>
        <v/>
      </c>
      <c r="B61" t="str">
        <f ca="1">IF(A61="","",COUNTIF(RawData[Telecaller Name],A61))</f>
        <v/>
      </c>
      <c r="C61" t="str">
        <f ca="1">IF(A61="","",MAX(0,B61-COUNTIFS(RawData[Telecaller Name],A61,RawData[Error Flag],"&gt;0")))</f>
        <v/>
      </c>
      <c r="D61" t="str">
        <f ca="1">IF(A61="","",SUMIFS(RawData[Error Flag],RawData[Telecaller Name],A61))</f>
        <v/>
      </c>
      <c r="E61" s="9" t="str">
        <f t="shared" ca="1" si="0"/>
        <v/>
      </c>
      <c r="F61" t="str">
        <f t="shared" ca="1" si="1"/>
        <v/>
      </c>
      <c r="G61" t="str" cm="1">
        <f t="array" aca="1" ref="G61" ca="1">IF(A61="","",SUMPRODUCT(--(RawData[Telecaller Name]=A61),--(ISNUMBER(SEARCH("Wrong Lead Status",RawData[Error Type]))+ISNUMBER(SEARCH("RNR Classification Error",RawData[Error Type]))+ISNUMBER(SEARCH("Follow-up Error",RawData[Error Type]))&gt;0)))</f>
        <v/>
      </c>
      <c r="H61" t="str" cm="1">
        <f t="array" aca="1" ref="H61" ca="1">IF(A61="","",SUMPRODUCT(--(RawData[Telecaller Name]=A61),--ISNUMBER(SEARCH("Warm Status Mismatch",RawData[Error Type])))+SUMPRODUCT(--(RawData[Telecaller Name]=A61),--ISNUMBER(SEARCH("CRM Status Mismatch",RawData[Error Type])))+SUMPRODUCT(--(RawData[Telecaller Name]=A61),--ISNUMBER(SEARCH("Customer Location Not Captured",RawData[Error Type]))))</f>
        <v/>
      </c>
    </row>
    <row r="62" spans="1:8" x14ac:dyDescent="0.25">
      <c r="A62" t="str" cm="1">
        <f t="array" aca="1" ref="A62" ca="1">IFERROR(_xlfn.LET(_xlpm.n,_xlfn.UNIQUE(_xlfn._xlws.FILTER(RawData[Telecaller Name],RawData[Telecaller Name]&lt;&gt;"")),_xlpm.a,1-COUNTIFS(RawData[Telecaller Name],_xlpm.n,RawData[Error Flag],1)/COUNTIF(RawData[Telecaller Name],_xlpm.n),INDEX(_xlfn.SORTBY(_xlpm.n,_xlpm.a,-1),ROWS(A$6:A62))),"")</f>
        <v/>
      </c>
      <c r="B62" t="str">
        <f ca="1">IF(A62="","",COUNTIF(RawData[Telecaller Name],A62))</f>
        <v/>
      </c>
      <c r="C62" t="str">
        <f ca="1">IF(A62="","",MAX(0,B62-COUNTIFS(RawData[Telecaller Name],A62,RawData[Error Flag],"&gt;0")))</f>
        <v/>
      </c>
      <c r="D62" t="str">
        <f ca="1">IF(A62="","",SUMIFS(RawData[Error Flag],RawData[Telecaller Name],A62))</f>
        <v/>
      </c>
      <c r="E62" s="9" t="str">
        <f t="shared" ca="1" si="0"/>
        <v/>
      </c>
      <c r="F62" t="str">
        <f t="shared" ca="1" si="1"/>
        <v/>
      </c>
      <c r="G62" t="str" cm="1">
        <f t="array" aca="1" ref="G62" ca="1">IF(A62="","",SUMPRODUCT(--(RawData[Telecaller Name]=A62),--(ISNUMBER(SEARCH("Wrong Lead Status",RawData[Error Type]))+ISNUMBER(SEARCH("RNR Classification Error",RawData[Error Type]))+ISNUMBER(SEARCH("Follow-up Error",RawData[Error Type]))&gt;0)))</f>
        <v/>
      </c>
      <c r="H62" t="str" cm="1">
        <f t="array" aca="1" ref="H62" ca="1">IF(A62="","",SUMPRODUCT(--(RawData[Telecaller Name]=A62),--ISNUMBER(SEARCH("Warm Status Mismatch",RawData[Error Type])))+SUMPRODUCT(--(RawData[Telecaller Name]=A62),--ISNUMBER(SEARCH("CRM Status Mismatch",RawData[Error Type])))+SUMPRODUCT(--(RawData[Telecaller Name]=A62),--ISNUMBER(SEARCH("Customer Location Not Captured",RawData[Error Type]))))</f>
        <v/>
      </c>
    </row>
    <row r="63" spans="1:8" x14ac:dyDescent="0.25">
      <c r="A63" t="str" cm="1">
        <f t="array" aca="1" ref="A63" ca="1">IFERROR(_xlfn.LET(_xlpm.n,_xlfn.UNIQUE(_xlfn._xlws.FILTER(RawData[Telecaller Name],RawData[Telecaller Name]&lt;&gt;"")),_xlpm.a,1-COUNTIFS(RawData[Telecaller Name],_xlpm.n,RawData[Error Flag],1)/COUNTIF(RawData[Telecaller Name],_xlpm.n),INDEX(_xlfn.SORTBY(_xlpm.n,_xlpm.a,-1),ROWS(A$6:A63))),"")</f>
        <v/>
      </c>
      <c r="B63" t="str">
        <f ca="1">IF(A63="","",COUNTIF(RawData[Telecaller Name],A63))</f>
        <v/>
      </c>
      <c r="C63" t="str">
        <f ca="1">IF(A63="","",MAX(0,B63-COUNTIFS(RawData[Telecaller Name],A63,RawData[Error Flag],"&gt;0")))</f>
        <v/>
      </c>
      <c r="D63" t="str">
        <f ca="1">IF(A63="","",SUMIFS(RawData[Error Flag],RawData[Telecaller Name],A63))</f>
        <v/>
      </c>
      <c r="E63" s="9" t="str">
        <f t="shared" ca="1" si="0"/>
        <v/>
      </c>
      <c r="F63" t="str">
        <f t="shared" ca="1" si="1"/>
        <v/>
      </c>
      <c r="G63" t="str" cm="1">
        <f t="array" aca="1" ref="G63" ca="1">IF(A63="","",SUMPRODUCT(--(RawData[Telecaller Name]=A63),--(ISNUMBER(SEARCH("Wrong Lead Status",RawData[Error Type]))+ISNUMBER(SEARCH("RNR Classification Error",RawData[Error Type]))+ISNUMBER(SEARCH("Follow-up Error",RawData[Error Type]))&gt;0)))</f>
        <v/>
      </c>
      <c r="H63" t="str" cm="1">
        <f t="array" aca="1" ref="H63" ca="1">IF(A63="","",SUMPRODUCT(--(RawData[Telecaller Name]=A63),--ISNUMBER(SEARCH("Warm Status Mismatch",RawData[Error Type])))+SUMPRODUCT(--(RawData[Telecaller Name]=A63),--ISNUMBER(SEARCH("CRM Status Mismatch",RawData[Error Type])))+SUMPRODUCT(--(RawData[Telecaller Name]=A63),--ISNUMBER(SEARCH("Customer Location Not Captured",RawData[Error Type]))))</f>
        <v/>
      </c>
    </row>
    <row r="64" spans="1:8" x14ac:dyDescent="0.25">
      <c r="A64" t="str" cm="1">
        <f t="array" aca="1" ref="A64" ca="1">IFERROR(_xlfn.LET(_xlpm.n,_xlfn.UNIQUE(_xlfn._xlws.FILTER(RawData[Telecaller Name],RawData[Telecaller Name]&lt;&gt;"")),_xlpm.a,1-COUNTIFS(RawData[Telecaller Name],_xlpm.n,RawData[Error Flag],1)/COUNTIF(RawData[Telecaller Name],_xlpm.n),INDEX(_xlfn.SORTBY(_xlpm.n,_xlpm.a,-1),ROWS(A$6:A64))),"")</f>
        <v/>
      </c>
      <c r="B64" t="str">
        <f ca="1">IF(A64="","",COUNTIF(RawData[Telecaller Name],A64))</f>
        <v/>
      </c>
      <c r="C64" t="str">
        <f ca="1">IF(A64="","",MAX(0,B64-COUNTIFS(RawData[Telecaller Name],A64,RawData[Error Flag],"&gt;0")))</f>
        <v/>
      </c>
      <c r="D64" t="str">
        <f ca="1">IF(A64="","",SUMIFS(RawData[Error Flag],RawData[Telecaller Name],A64))</f>
        <v/>
      </c>
      <c r="E64" s="9" t="str">
        <f t="shared" ca="1" si="0"/>
        <v/>
      </c>
      <c r="F64" t="str">
        <f t="shared" ca="1" si="1"/>
        <v/>
      </c>
      <c r="G64" t="str" cm="1">
        <f t="array" aca="1" ref="G64" ca="1">IF(A64="","",SUMPRODUCT(--(RawData[Telecaller Name]=A64),--(ISNUMBER(SEARCH("Wrong Lead Status",RawData[Error Type]))+ISNUMBER(SEARCH("RNR Classification Error",RawData[Error Type]))+ISNUMBER(SEARCH("Follow-up Error",RawData[Error Type]))&gt;0)))</f>
        <v/>
      </c>
      <c r="H64" t="str" cm="1">
        <f t="array" aca="1" ref="H64" ca="1">IF(A64="","",SUMPRODUCT(--(RawData[Telecaller Name]=A64),--ISNUMBER(SEARCH("Warm Status Mismatch",RawData[Error Type])))+SUMPRODUCT(--(RawData[Telecaller Name]=A64),--ISNUMBER(SEARCH("CRM Status Mismatch",RawData[Error Type])))+SUMPRODUCT(--(RawData[Telecaller Name]=A64),--ISNUMBER(SEARCH("Customer Location Not Captured",RawData[Error Type]))))</f>
        <v/>
      </c>
    </row>
    <row r="65" spans="1:8" x14ac:dyDescent="0.25">
      <c r="A65" t="str" cm="1">
        <f t="array" aca="1" ref="A65" ca="1">IFERROR(_xlfn.LET(_xlpm.n,_xlfn.UNIQUE(_xlfn._xlws.FILTER(RawData[Telecaller Name],RawData[Telecaller Name]&lt;&gt;"")),_xlpm.a,1-COUNTIFS(RawData[Telecaller Name],_xlpm.n,RawData[Error Flag],1)/COUNTIF(RawData[Telecaller Name],_xlpm.n),INDEX(_xlfn.SORTBY(_xlpm.n,_xlpm.a,-1),ROWS(A$6:A65))),"")</f>
        <v/>
      </c>
      <c r="B65" t="str">
        <f ca="1">IF(A65="","",COUNTIF(RawData[Telecaller Name],A65))</f>
        <v/>
      </c>
      <c r="C65" t="str">
        <f ca="1">IF(A65="","",MAX(0,B65-COUNTIFS(RawData[Telecaller Name],A65,RawData[Error Flag],"&gt;0")))</f>
        <v/>
      </c>
      <c r="D65" t="str">
        <f ca="1">IF(A65="","",SUMIFS(RawData[Error Flag],RawData[Telecaller Name],A65))</f>
        <v/>
      </c>
      <c r="E65" s="9" t="str">
        <f t="shared" ca="1" si="0"/>
        <v/>
      </c>
      <c r="F65" t="str">
        <f t="shared" ca="1" si="1"/>
        <v/>
      </c>
      <c r="G65" t="str" cm="1">
        <f t="array" aca="1" ref="G65" ca="1">IF(A65="","",SUMPRODUCT(--(RawData[Telecaller Name]=A65),--(ISNUMBER(SEARCH("Wrong Lead Status",RawData[Error Type]))+ISNUMBER(SEARCH("RNR Classification Error",RawData[Error Type]))+ISNUMBER(SEARCH("Follow-up Error",RawData[Error Type]))&gt;0)))</f>
        <v/>
      </c>
      <c r="H65" t="str" cm="1">
        <f t="array" aca="1" ref="H65" ca="1">IF(A65="","",SUMPRODUCT(--(RawData[Telecaller Name]=A65),--ISNUMBER(SEARCH("Warm Status Mismatch",RawData[Error Type])))+SUMPRODUCT(--(RawData[Telecaller Name]=A65),--ISNUMBER(SEARCH("CRM Status Mismatch",RawData[Error Type])))+SUMPRODUCT(--(RawData[Telecaller Name]=A65),--ISNUMBER(SEARCH("Customer Location Not Captured",RawData[Error Type]))))</f>
        <v/>
      </c>
    </row>
    <row r="66" spans="1:8" x14ac:dyDescent="0.25">
      <c r="A66" t="str" cm="1">
        <f t="array" aca="1" ref="A66" ca="1">IFERROR(_xlfn.LET(_xlpm.n,_xlfn.UNIQUE(_xlfn._xlws.FILTER(RawData[Telecaller Name],RawData[Telecaller Name]&lt;&gt;"")),_xlpm.a,1-COUNTIFS(RawData[Telecaller Name],_xlpm.n,RawData[Error Flag],1)/COUNTIF(RawData[Telecaller Name],_xlpm.n),INDEX(_xlfn.SORTBY(_xlpm.n,_xlpm.a,-1),ROWS(A$6:A66))),"")</f>
        <v/>
      </c>
      <c r="B66" t="str">
        <f ca="1">IF(A66="","",COUNTIF(RawData[Telecaller Name],A66))</f>
        <v/>
      </c>
      <c r="C66" t="str">
        <f ca="1">IF(A66="","",MAX(0,B66-COUNTIFS(RawData[Telecaller Name],A66,RawData[Error Flag],"&gt;0")))</f>
        <v/>
      </c>
      <c r="D66" t="str">
        <f ca="1">IF(A66="","",SUMIFS(RawData[Error Flag],RawData[Telecaller Name],A66))</f>
        <v/>
      </c>
      <c r="E66" s="9" t="str">
        <f t="shared" ca="1" si="0"/>
        <v/>
      </c>
      <c r="F66" t="str">
        <f t="shared" ca="1" si="1"/>
        <v/>
      </c>
      <c r="G66" t="str" cm="1">
        <f t="array" aca="1" ref="G66" ca="1">IF(A66="","",SUMPRODUCT(--(RawData[Telecaller Name]=A66),--(ISNUMBER(SEARCH("Wrong Lead Status",RawData[Error Type]))+ISNUMBER(SEARCH("RNR Classification Error",RawData[Error Type]))+ISNUMBER(SEARCH("Follow-up Error",RawData[Error Type]))&gt;0)))</f>
        <v/>
      </c>
      <c r="H66" t="str" cm="1">
        <f t="array" aca="1" ref="H66" ca="1">IF(A66="","",SUMPRODUCT(--(RawData[Telecaller Name]=A66),--ISNUMBER(SEARCH("Warm Status Mismatch",RawData[Error Type])))+SUMPRODUCT(--(RawData[Telecaller Name]=A66),--ISNUMBER(SEARCH("CRM Status Mismatch",RawData[Error Type])))+SUMPRODUCT(--(RawData[Telecaller Name]=A66),--ISNUMBER(SEARCH("Customer Location Not Captured",RawData[Error Type]))))</f>
        <v/>
      </c>
    </row>
    <row r="67" spans="1:8" x14ac:dyDescent="0.25">
      <c r="A67" t="str" cm="1">
        <f t="array" aca="1" ref="A67" ca="1">IFERROR(_xlfn.LET(_xlpm.n,_xlfn.UNIQUE(_xlfn._xlws.FILTER(RawData[Telecaller Name],RawData[Telecaller Name]&lt;&gt;"")),_xlpm.a,1-COUNTIFS(RawData[Telecaller Name],_xlpm.n,RawData[Error Flag],1)/COUNTIF(RawData[Telecaller Name],_xlpm.n),INDEX(_xlfn.SORTBY(_xlpm.n,_xlpm.a,-1),ROWS(A$6:A67))),"")</f>
        <v/>
      </c>
      <c r="B67" t="str">
        <f ca="1">IF(A67="","",COUNTIF(RawData[Telecaller Name],A67))</f>
        <v/>
      </c>
      <c r="C67" t="str">
        <f ca="1">IF(A67="","",MAX(0,B67-COUNTIFS(RawData[Telecaller Name],A67,RawData[Error Flag],"&gt;0")))</f>
        <v/>
      </c>
      <c r="D67" t="str">
        <f ca="1">IF(A67="","",SUMIFS(RawData[Error Flag],RawData[Telecaller Name],A67))</f>
        <v/>
      </c>
      <c r="E67" s="9" t="str">
        <f t="shared" ca="1" si="0"/>
        <v/>
      </c>
      <c r="F67" t="str">
        <f t="shared" ca="1" si="1"/>
        <v/>
      </c>
      <c r="G67" t="str" cm="1">
        <f t="array" aca="1" ref="G67" ca="1">IF(A67="","",SUMPRODUCT(--(RawData[Telecaller Name]=A67),--(ISNUMBER(SEARCH("Wrong Lead Status",RawData[Error Type]))+ISNUMBER(SEARCH("RNR Classification Error",RawData[Error Type]))+ISNUMBER(SEARCH("Follow-up Error",RawData[Error Type]))&gt;0)))</f>
        <v/>
      </c>
      <c r="H67" t="str" cm="1">
        <f t="array" aca="1" ref="H67" ca="1">IF(A67="","",SUMPRODUCT(--(RawData[Telecaller Name]=A67),--ISNUMBER(SEARCH("Warm Status Mismatch",RawData[Error Type])))+SUMPRODUCT(--(RawData[Telecaller Name]=A67),--ISNUMBER(SEARCH("CRM Status Mismatch",RawData[Error Type])))+SUMPRODUCT(--(RawData[Telecaller Name]=A67),--ISNUMBER(SEARCH("Customer Location Not Captured",RawData[Error Type]))))</f>
        <v/>
      </c>
    </row>
    <row r="68" spans="1:8" x14ac:dyDescent="0.25">
      <c r="A68" t="str" cm="1">
        <f t="array" aca="1" ref="A68" ca="1">IFERROR(_xlfn.LET(_xlpm.n,_xlfn.UNIQUE(_xlfn._xlws.FILTER(RawData[Telecaller Name],RawData[Telecaller Name]&lt;&gt;"")),_xlpm.a,1-COUNTIFS(RawData[Telecaller Name],_xlpm.n,RawData[Error Flag],1)/COUNTIF(RawData[Telecaller Name],_xlpm.n),INDEX(_xlfn.SORTBY(_xlpm.n,_xlpm.a,-1),ROWS(A$6:A68))),"")</f>
        <v/>
      </c>
      <c r="B68" t="str">
        <f ca="1">IF(A68="","",COUNTIF(RawData[Telecaller Name],A68))</f>
        <v/>
      </c>
      <c r="C68" t="str">
        <f ca="1">IF(A68="","",MAX(0,B68-COUNTIFS(RawData[Telecaller Name],A68,RawData[Error Flag],"&gt;0")))</f>
        <v/>
      </c>
      <c r="D68" t="str">
        <f ca="1">IF(A68="","",SUMIFS(RawData[Error Flag],RawData[Telecaller Name],A68))</f>
        <v/>
      </c>
      <c r="E68" s="9" t="str">
        <f t="shared" ca="1" si="0"/>
        <v/>
      </c>
      <c r="F68" t="str">
        <f t="shared" ca="1" si="1"/>
        <v/>
      </c>
      <c r="G68" t="str" cm="1">
        <f t="array" aca="1" ref="G68" ca="1">IF(A68="","",SUMPRODUCT(--(RawData[Telecaller Name]=A68),--(ISNUMBER(SEARCH("Wrong Lead Status",RawData[Error Type]))+ISNUMBER(SEARCH("RNR Classification Error",RawData[Error Type]))+ISNUMBER(SEARCH("Follow-up Error",RawData[Error Type]))&gt;0)))</f>
        <v/>
      </c>
      <c r="H68" t="str" cm="1">
        <f t="array" aca="1" ref="H68" ca="1">IF(A68="","",SUMPRODUCT(--(RawData[Telecaller Name]=A68),--ISNUMBER(SEARCH("Warm Status Mismatch",RawData[Error Type])))+SUMPRODUCT(--(RawData[Telecaller Name]=A68),--ISNUMBER(SEARCH("CRM Status Mismatch",RawData[Error Type])))+SUMPRODUCT(--(RawData[Telecaller Name]=A68),--ISNUMBER(SEARCH("Customer Location Not Captured",RawData[Error Type]))))</f>
        <v/>
      </c>
    </row>
    <row r="69" spans="1:8" x14ac:dyDescent="0.25">
      <c r="A69" t="str" cm="1">
        <f t="array" aca="1" ref="A69" ca="1">IFERROR(_xlfn.LET(_xlpm.n,_xlfn.UNIQUE(_xlfn._xlws.FILTER(RawData[Telecaller Name],RawData[Telecaller Name]&lt;&gt;"")),_xlpm.a,1-COUNTIFS(RawData[Telecaller Name],_xlpm.n,RawData[Error Flag],1)/COUNTIF(RawData[Telecaller Name],_xlpm.n),INDEX(_xlfn.SORTBY(_xlpm.n,_xlpm.a,-1),ROWS(A$6:A69))),"")</f>
        <v/>
      </c>
      <c r="B69" t="str">
        <f ca="1">IF(A69="","",COUNTIF(RawData[Telecaller Name],A69))</f>
        <v/>
      </c>
      <c r="C69" t="str">
        <f ca="1">IF(A69="","",MAX(0,B69-COUNTIFS(RawData[Telecaller Name],A69,RawData[Error Flag],"&gt;0")))</f>
        <v/>
      </c>
      <c r="D69" t="str">
        <f ca="1">IF(A69="","",SUMIFS(RawData[Error Flag],RawData[Telecaller Name],A69))</f>
        <v/>
      </c>
      <c r="E69" s="9" t="str">
        <f t="shared" ca="1" si="0"/>
        <v/>
      </c>
      <c r="F69" t="str">
        <f t="shared" ca="1" si="1"/>
        <v/>
      </c>
      <c r="G69" t="str" cm="1">
        <f t="array" aca="1" ref="G69" ca="1">IF(A69="","",SUMPRODUCT(--(RawData[Telecaller Name]=A69),--(ISNUMBER(SEARCH("Wrong Lead Status",RawData[Error Type]))+ISNUMBER(SEARCH("RNR Classification Error",RawData[Error Type]))+ISNUMBER(SEARCH("Follow-up Error",RawData[Error Type]))&gt;0)))</f>
        <v/>
      </c>
      <c r="H69" t="str" cm="1">
        <f t="array" aca="1" ref="H69" ca="1">IF(A69="","",SUMPRODUCT(--(RawData[Telecaller Name]=A69),--ISNUMBER(SEARCH("Warm Status Mismatch",RawData[Error Type])))+SUMPRODUCT(--(RawData[Telecaller Name]=A69),--ISNUMBER(SEARCH("CRM Status Mismatch",RawData[Error Type])))+SUMPRODUCT(--(RawData[Telecaller Name]=A69),--ISNUMBER(SEARCH("Customer Location Not Captured",RawData[Error Type]))))</f>
        <v/>
      </c>
    </row>
    <row r="70" spans="1:8" x14ac:dyDescent="0.25">
      <c r="A70" t="str" cm="1">
        <f t="array" aca="1" ref="A70" ca="1">IFERROR(_xlfn.LET(_xlpm.n,_xlfn.UNIQUE(_xlfn._xlws.FILTER(RawData[Telecaller Name],RawData[Telecaller Name]&lt;&gt;"")),_xlpm.a,1-COUNTIFS(RawData[Telecaller Name],_xlpm.n,RawData[Error Flag],1)/COUNTIF(RawData[Telecaller Name],_xlpm.n),INDEX(_xlfn.SORTBY(_xlpm.n,_xlpm.a,-1),ROWS(A$6:A70))),"")</f>
        <v/>
      </c>
      <c r="B70" t="str">
        <f ca="1">IF(A70="","",COUNTIF(RawData[Telecaller Name],A70))</f>
        <v/>
      </c>
      <c r="C70" t="str">
        <f ca="1">IF(A70="","",MAX(0,B70-COUNTIFS(RawData[Telecaller Name],A70,RawData[Error Flag],"&gt;0")))</f>
        <v/>
      </c>
      <c r="D70" t="str">
        <f ca="1">IF(A70="","",SUMIFS(RawData[Error Flag],RawData[Telecaller Name],A70))</f>
        <v/>
      </c>
      <c r="E70" s="9" t="str">
        <f t="shared" ref="E70:E105" ca="1" si="2">IF(A70="","",MAX(0,1-D70/B70))</f>
        <v/>
      </c>
      <c r="F70" t="str">
        <f t="shared" ca="1" si="1"/>
        <v/>
      </c>
      <c r="G70" t="str" cm="1">
        <f t="array" aca="1" ref="G70" ca="1">IF(A70="","",SUMPRODUCT(--(RawData[Telecaller Name]=A70),--(ISNUMBER(SEARCH("Wrong Lead Status",RawData[Error Type]))+ISNUMBER(SEARCH("RNR Classification Error",RawData[Error Type]))+ISNUMBER(SEARCH("Follow-up Error",RawData[Error Type]))&gt;0)))</f>
        <v/>
      </c>
      <c r="H70" t="str" cm="1">
        <f t="array" aca="1" ref="H70" ca="1">IF(A70="","",SUMPRODUCT(--(RawData[Telecaller Name]=A70),--ISNUMBER(SEARCH("Warm Status Mismatch",RawData[Error Type])))+SUMPRODUCT(--(RawData[Telecaller Name]=A70),--ISNUMBER(SEARCH("CRM Status Mismatch",RawData[Error Type])))+SUMPRODUCT(--(RawData[Telecaller Name]=A70),--ISNUMBER(SEARCH("Customer Location Not Captured",RawData[Error Type]))))</f>
        <v/>
      </c>
    </row>
    <row r="71" spans="1:8" x14ac:dyDescent="0.25">
      <c r="A71" t="str" cm="1">
        <f t="array" aca="1" ref="A71" ca="1">IFERROR(_xlfn.LET(_xlpm.n,_xlfn.UNIQUE(_xlfn._xlws.FILTER(RawData[Telecaller Name],RawData[Telecaller Name]&lt;&gt;"")),_xlpm.a,1-COUNTIFS(RawData[Telecaller Name],_xlpm.n,RawData[Error Flag],1)/COUNTIF(RawData[Telecaller Name],_xlpm.n),INDEX(_xlfn.SORTBY(_xlpm.n,_xlpm.a,-1),ROWS(A$6:A71))),"")</f>
        <v/>
      </c>
      <c r="B71" t="str">
        <f ca="1">IF(A71="","",COUNTIF(RawData[Telecaller Name],A71))</f>
        <v/>
      </c>
      <c r="C71" t="str">
        <f ca="1">IF(A71="","",MAX(0,B71-COUNTIFS(RawData[Telecaller Name],A71,RawData[Error Flag],"&gt;0")))</f>
        <v/>
      </c>
      <c r="D71" t="str">
        <f ca="1">IF(A71="","",SUMIFS(RawData[Error Flag],RawData[Telecaller Name],A71))</f>
        <v/>
      </c>
      <c r="E71" s="9" t="str">
        <f t="shared" ca="1" si="2"/>
        <v/>
      </c>
      <c r="F71" t="str">
        <f t="shared" ref="F71:F105" ca="1" si="3">IF(A71="","",IF(E71&gt;=0.95,"★★★★★",IF(E71&gt;=0.9,"★★★★☆",IF(E71&gt;=0.8,"★★★☆☆",IF(E71&gt;=0.7,"★★☆☆☆","★☆☆☆☆")))))</f>
        <v/>
      </c>
      <c r="G71" t="str" cm="1">
        <f t="array" aca="1" ref="G71" ca="1">IF(A71="","",SUMPRODUCT(--(RawData[Telecaller Name]=A71),--(ISNUMBER(SEARCH("Wrong Lead Status",RawData[Error Type]))+ISNUMBER(SEARCH("RNR Classification Error",RawData[Error Type]))+ISNUMBER(SEARCH("Follow-up Error",RawData[Error Type]))&gt;0)))</f>
        <v/>
      </c>
      <c r="H71" t="str" cm="1">
        <f t="array" aca="1" ref="H71" ca="1">IF(A71="","",SUMPRODUCT(--(RawData[Telecaller Name]=A71),--ISNUMBER(SEARCH("Warm Status Mismatch",RawData[Error Type])))+SUMPRODUCT(--(RawData[Telecaller Name]=A71),--ISNUMBER(SEARCH("CRM Status Mismatch",RawData[Error Type])))+SUMPRODUCT(--(RawData[Telecaller Name]=A71),--ISNUMBER(SEARCH("Customer Location Not Captured",RawData[Error Type]))))</f>
        <v/>
      </c>
    </row>
    <row r="72" spans="1:8" x14ac:dyDescent="0.25">
      <c r="A72" t="str" cm="1">
        <f t="array" aca="1" ref="A72" ca="1">IFERROR(_xlfn.LET(_xlpm.n,_xlfn.UNIQUE(_xlfn._xlws.FILTER(RawData[Telecaller Name],RawData[Telecaller Name]&lt;&gt;"")),_xlpm.a,1-COUNTIFS(RawData[Telecaller Name],_xlpm.n,RawData[Error Flag],1)/COUNTIF(RawData[Telecaller Name],_xlpm.n),INDEX(_xlfn.SORTBY(_xlpm.n,_xlpm.a,-1),ROWS(A$6:A72))),"")</f>
        <v/>
      </c>
      <c r="B72" t="str">
        <f ca="1">IF(A72="","",COUNTIF(RawData[Telecaller Name],A72))</f>
        <v/>
      </c>
      <c r="C72" t="str">
        <f ca="1">IF(A72="","",MAX(0,B72-COUNTIFS(RawData[Telecaller Name],A72,RawData[Error Flag],"&gt;0")))</f>
        <v/>
      </c>
      <c r="D72" t="str">
        <f ca="1">IF(A72="","",SUMIFS(RawData[Error Flag],RawData[Telecaller Name],A72))</f>
        <v/>
      </c>
      <c r="E72" s="9" t="str">
        <f t="shared" ca="1" si="2"/>
        <v/>
      </c>
      <c r="F72" t="str">
        <f t="shared" ca="1" si="3"/>
        <v/>
      </c>
      <c r="G72" t="str" cm="1">
        <f t="array" aca="1" ref="G72" ca="1">IF(A72="","",SUMPRODUCT(--(RawData[Telecaller Name]=A72),--(ISNUMBER(SEARCH("Wrong Lead Status",RawData[Error Type]))+ISNUMBER(SEARCH("RNR Classification Error",RawData[Error Type]))+ISNUMBER(SEARCH("Follow-up Error",RawData[Error Type]))&gt;0)))</f>
        <v/>
      </c>
      <c r="H72" t="str" cm="1">
        <f t="array" aca="1" ref="H72" ca="1">IF(A72="","",SUMPRODUCT(--(RawData[Telecaller Name]=A72),--ISNUMBER(SEARCH("Warm Status Mismatch",RawData[Error Type])))+SUMPRODUCT(--(RawData[Telecaller Name]=A72),--ISNUMBER(SEARCH("CRM Status Mismatch",RawData[Error Type])))+SUMPRODUCT(--(RawData[Telecaller Name]=A72),--ISNUMBER(SEARCH("Customer Location Not Captured",RawData[Error Type]))))</f>
        <v/>
      </c>
    </row>
    <row r="73" spans="1:8" x14ac:dyDescent="0.25">
      <c r="A73" t="str" cm="1">
        <f t="array" aca="1" ref="A73" ca="1">IFERROR(_xlfn.LET(_xlpm.n,_xlfn.UNIQUE(_xlfn._xlws.FILTER(RawData[Telecaller Name],RawData[Telecaller Name]&lt;&gt;"")),_xlpm.a,1-COUNTIFS(RawData[Telecaller Name],_xlpm.n,RawData[Error Flag],1)/COUNTIF(RawData[Telecaller Name],_xlpm.n),INDEX(_xlfn.SORTBY(_xlpm.n,_xlpm.a,-1),ROWS(A$6:A73))),"")</f>
        <v/>
      </c>
      <c r="B73" t="str">
        <f ca="1">IF(A73="","",COUNTIF(RawData[Telecaller Name],A73))</f>
        <v/>
      </c>
      <c r="C73" t="str">
        <f ca="1">IF(A73="","",MAX(0,B73-COUNTIFS(RawData[Telecaller Name],A73,RawData[Error Flag],"&gt;0")))</f>
        <v/>
      </c>
      <c r="D73" t="str">
        <f ca="1">IF(A73="","",SUMIFS(RawData[Error Flag],RawData[Telecaller Name],A73))</f>
        <v/>
      </c>
      <c r="E73" s="9" t="str">
        <f t="shared" ca="1" si="2"/>
        <v/>
      </c>
      <c r="F73" t="str">
        <f t="shared" ca="1" si="3"/>
        <v/>
      </c>
      <c r="G73" t="str" cm="1">
        <f t="array" aca="1" ref="G73" ca="1">IF(A73="","",SUMPRODUCT(--(RawData[Telecaller Name]=A73),--(ISNUMBER(SEARCH("Wrong Lead Status",RawData[Error Type]))+ISNUMBER(SEARCH("RNR Classification Error",RawData[Error Type]))+ISNUMBER(SEARCH("Follow-up Error",RawData[Error Type]))&gt;0)))</f>
        <v/>
      </c>
      <c r="H73" t="str" cm="1">
        <f t="array" aca="1" ref="H73" ca="1">IF(A73="","",SUMPRODUCT(--(RawData[Telecaller Name]=A73),--ISNUMBER(SEARCH("Warm Status Mismatch",RawData[Error Type])))+SUMPRODUCT(--(RawData[Telecaller Name]=A73),--ISNUMBER(SEARCH("CRM Status Mismatch",RawData[Error Type])))+SUMPRODUCT(--(RawData[Telecaller Name]=A73),--ISNUMBER(SEARCH("Customer Location Not Captured",RawData[Error Type]))))</f>
        <v/>
      </c>
    </row>
    <row r="74" spans="1:8" x14ac:dyDescent="0.25">
      <c r="A74" t="str" cm="1">
        <f t="array" aca="1" ref="A74" ca="1">IFERROR(_xlfn.LET(_xlpm.n,_xlfn.UNIQUE(_xlfn._xlws.FILTER(RawData[Telecaller Name],RawData[Telecaller Name]&lt;&gt;"")),_xlpm.a,1-COUNTIFS(RawData[Telecaller Name],_xlpm.n,RawData[Error Flag],1)/COUNTIF(RawData[Telecaller Name],_xlpm.n),INDEX(_xlfn.SORTBY(_xlpm.n,_xlpm.a,-1),ROWS(A$6:A74))),"")</f>
        <v/>
      </c>
      <c r="B74" t="str">
        <f ca="1">IF(A74="","",COUNTIF(RawData[Telecaller Name],A74))</f>
        <v/>
      </c>
      <c r="C74" t="str">
        <f ca="1">IF(A74="","",MAX(0,B74-COUNTIFS(RawData[Telecaller Name],A74,RawData[Error Flag],"&gt;0")))</f>
        <v/>
      </c>
      <c r="D74" t="str">
        <f ca="1">IF(A74="","",SUMIFS(RawData[Error Flag],RawData[Telecaller Name],A74))</f>
        <v/>
      </c>
      <c r="E74" s="9" t="str">
        <f t="shared" ca="1" si="2"/>
        <v/>
      </c>
      <c r="F74" t="str">
        <f t="shared" ca="1" si="3"/>
        <v/>
      </c>
      <c r="G74" t="str" cm="1">
        <f t="array" aca="1" ref="G74" ca="1">IF(A74="","",SUMPRODUCT(--(RawData[Telecaller Name]=A74),--(ISNUMBER(SEARCH("Wrong Lead Status",RawData[Error Type]))+ISNUMBER(SEARCH("RNR Classification Error",RawData[Error Type]))+ISNUMBER(SEARCH("Follow-up Error",RawData[Error Type]))&gt;0)))</f>
        <v/>
      </c>
      <c r="H74" t="str" cm="1">
        <f t="array" aca="1" ref="H74" ca="1">IF(A74="","",SUMPRODUCT(--(RawData[Telecaller Name]=A74),--ISNUMBER(SEARCH("Warm Status Mismatch",RawData[Error Type])))+SUMPRODUCT(--(RawData[Telecaller Name]=A74),--ISNUMBER(SEARCH("CRM Status Mismatch",RawData[Error Type])))+SUMPRODUCT(--(RawData[Telecaller Name]=A74),--ISNUMBER(SEARCH("Customer Location Not Captured",RawData[Error Type]))))</f>
        <v/>
      </c>
    </row>
    <row r="75" spans="1:8" x14ac:dyDescent="0.25">
      <c r="A75" t="str" cm="1">
        <f t="array" aca="1" ref="A75" ca="1">IFERROR(_xlfn.LET(_xlpm.n,_xlfn.UNIQUE(_xlfn._xlws.FILTER(RawData[Telecaller Name],RawData[Telecaller Name]&lt;&gt;"")),_xlpm.a,1-COUNTIFS(RawData[Telecaller Name],_xlpm.n,RawData[Error Flag],1)/COUNTIF(RawData[Telecaller Name],_xlpm.n),INDEX(_xlfn.SORTBY(_xlpm.n,_xlpm.a,-1),ROWS(A$6:A75))),"")</f>
        <v/>
      </c>
      <c r="B75" t="str">
        <f ca="1">IF(A75="","",COUNTIF(RawData[Telecaller Name],A75))</f>
        <v/>
      </c>
      <c r="C75" t="str">
        <f ca="1">IF(A75="","",MAX(0,B75-COUNTIFS(RawData[Telecaller Name],A75,RawData[Error Flag],"&gt;0")))</f>
        <v/>
      </c>
      <c r="D75" t="str">
        <f ca="1">IF(A75="","",SUMIFS(RawData[Error Flag],RawData[Telecaller Name],A75))</f>
        <v/>
      </c>
      <c r="E75" s="9" t="str">
        <f t="shared" ca="1" si="2"/>
        <v/>
      </c>
      <c r="F75" t="str">
        <f t="shared" ca="1" si="3"/>
        <v/>
      </c>
      <c r="G75" t="str" cm="1">
        <f t="array" aca="1" ref="G75" ca="1">IF(A75="","",SUMPRODUCT(--(RawData[Telecaller Name]=A75),--(ISNUMBER(SEARCH("Wrong Lead Status",RawData[Error Type]))+ISNUMBER(SEARCH("RNR Classification Error",RawData[Error Type]))+ISNUMBER(SEARCH("Follow-up Error",RawData[Error Type]))&gt;0)))</f>
        <v/>
      </c>
      <c r="H75" t="str" cm="1">
        <f t="array" aca="1" ref="H75" ca="1">IF(A75="","",SUMPRODUCT(--(RawData[Telecaller Name]=A75),--ISNUMBER(SEARCH("Warm Status Mismatch",RawData[Error Type])))+SUMPRODUCT(--(RawData[Telecaller Name]=A75),--ISNUMBER(SEARCH("CRM Status Mismatch",RawData[Error Type])))+SUMPRODUCT(--(RawData[Telecaller Name]=A75),--ISNUMBER(SEARCH("Customer Location Not Captured",RawData[Error Type]))))</f>
        <v/>
      </c>
    </row>
    <row r="76" spans="1:8" x14ac:dyDescent="0.25">
      <c r="A76" t="str" cm="1">
        <f t="array" aca="1" ref="A76" ca="1">IFERROR(_xlfn.LET(_xlpm.n,_xlfn.UNIQUE(_xlfn._xlws.FILTER(RawData[Telecaller Name],RawData[Telecaller Name]&lt;&gt;"")),_xlpm.a,1-COUNTIFS(RawData[Telecaller Name],_xlpm.n,RawData[Error Flag],1)/COUNTIF(RawData[Telecaller Name],_xlpm.n),INDEX(_xlfn.SORTBY(_xlpm.n,_xlpm.a,-1),ROWS(A$6:A76))),"")</f>
        <v/>
      </c>
      <c r="B76" t="str">
        <f ca="1">IF(A76="","",COUNTIF(RawData[Telecaller Name],A76))</f>
        <v/>
      </c>
      <c r="C76" t="str">
        <f ca="1">IF(A76="","",MAX(0,B76-COUNTIFS(RawData[Telecaller Name],A76,RawData[Error Flag],"&gt;0")))</f>
        <v/>
      </c>
      <c r="D76" t="str">
        <f ca="1">IF(A76="","",SUMIFS(RawData[Error Flag],RawData[Telecaller Name],A76))</f>
        <v/>
      </c>
      <c r="E76" s="9" t="str">
        <f t="shared" ca="1" si="2"/>
        <v/>
      </c>
      <c r="F76" t="str">
        <f t="shared" ca="1" si="3"/>
        <v/>
      </c>
      <c r="G76" t="str" cm="1">
        <f t="array" aca="1" ref="G76" ca="1">IF(A76="","",SUMPRODUCT(--(RawData[Telecaller Name]=A76),--(ISNUMBER(SEARCH("Wrong Lead Status",RawData[Error Type]))+ISNUMBER(SEARCH("RNR Classification Error",RawData[Error Type]))+ISNUMBER(SEARCH("Follow-up Error",RawData[Error Type]))&gt;0)))</f>
        <v/>
      </c>
      <c r="H76" t="str" cm="1">
        <f t="array" aca="1" ref="H76" ca="1">IF(A76="","",SUMPRODUCT(--(RawData[Telecaller Name]=A76),--ISNUMBER(SEARCH("Warm Status Mismatch",RawData[Error Type])))+SUMPRODUCT(--(RawData[Telecaller Name]=A76),--ISNUMBER(SEARCH("CRM Status Mismatch",RawData[Error Type])))+SUMPRODUCT(--(RawData[Telecaller Name]=A76),--ISNUMBER(SEARCH("Customer Location Not Captured",RawData[Error Type]))))</f>
        <v/>
      </c>
    </row>
    <row r="77" spans="1:8" x14ac:dyDescent="0.25">
      <c r="A77" t="str" cm="1">
        <f t="array" aca="1" ref="A77" ca="1">IFERROR(_xlfn.LET(_xlpm.n,_xlfn.UNIQUE(_xlfn._xlws.FILTER(RawData[Telecaller Name],RawData[Telecaller Name]&lt;&gt;"")),_xlpm.a,1-COUNTIFS(RawData[Telecaller Name],_xlpm.n,RawData[Error Flag],1)/COUNTIF(RawData[Telecaller Name],_xlpm.n),INDEX(_xlfn.SORTBY(_xlpm.n,_xlpm.a,-1),ROWS(A$6:A77))),"")</f>
        <v/>
      </c>
      <c r="B77" t="str">
        <f ca="1">IF(A77="","",COUNTIF(RawData[Telecaller Name],A77))</f>
        <v/>
      </c>
      <c r="C77" t="str">
        <f ca="1">IF(A77="","",MAX(0,B77-COUNTIFS(RawData[Telecaller Name],A77,RawData[Error Flag],"&gt;0")))</f>
        <v/>
      </c>
      <c r="D77" t="str">
        <f ca="1">IF(A77="","",SUMIFS(RawData[Error Flag],RawData[Telecaller Name],A77))</f>
        <v/>
      </c>
      <c r="E77" s="9" t="str">
        <f t="shared" ca="1" si="2"/>
        <v/>
      </c>
      <c r="F77" t="str">
        <f t="shared" ca="1" si="3"/>
        <v/>
      </c>
      <c r="G77" t="str" cm="1">
        <f t="array" aca="1" ref="G77" ca="1">IF(A77="","",SUMPRODUCT(--(RawData[Telecaller Name]=A77),--(ISNUMBER(SEARCH("Wrong Lead Status",RawData[Error Type]))+ISNUMBER(SEARCH("RNR Classification Error",RawData[Error Type]))+ISNUMBER(SEARCH("Follow-up Error",RawData[Error Type]))&gt;0)))</f>
        <v/>
      </c>
      <c r="H77" t="str" cm="1">
        <f t="array" aca="1" ref="H77" ca="1">IF(A77="","",SUMPRODUCT(--(RawData[Telecaller Name]=A77),--ISNUMBER(SEARCH("Warm Status Mismatch",RawData[Error Type])))+SUMPRODUCT(--(RawData[Telecaller Name]=A77),--ISNUMBER(SEARCH("CRM Status Mismatch",RawData[Error Type])))+SUMPRODUCT(--(RawData[Telecaller Name]=A77),--ISNUMBER(SEARCH("Customer Location Not Captured",RawData[Error Type]))))</f>
        <v/>
      </c>
    </row>
    <row r="78" spans="1:8" x14ac:dyDescent="0.25">
      <c r="A78" t="str" cm="1">
        <f t="array" aca="1" ref="A78" ca="1">IFERROR(_xlfn.LET(_xlpm.n,_xlfn.UNIQUE(_xlfn._xlws.FILTER(RawData[Telecaller Name],RawData[Telecaller Name]&lt;&gt;"")),_xlpm.a,1-COUNTIFS(RawData[Telecaller Name],_xlpm.n,RawData[Error Flag],1)/COUNTIF(RawData[Telecaller Name],_xlpm.n),INDEX(_xlfn.SORTBY(_xlpm.n,_xlpm.a,-1),ROWS(A$6:A78))),"")</f>
        <v/>
      </c>
      <c r="B78" t="str">
        <f ca="1">IF(A78="","",COUNTIF(RawData[Telecaller Name],A78))</f>
        <v/>
      </c>
      <c r="C78" t="str">
        <f ca="1">IF(A78="","",MAX(0,B78-COUNTIFS(RawData[Telecaller Name],A78,RawData[Error Flag],"&gt;0")))</f>
        <v/>
      </c>
      <c r="D78" t="str">
        <f ca="1">IF(A78="","",SUMIFS(RawData[Error Flag],RawData[Telecaller Name],A78))</f>
        <v/>
      </c>
      <c r="E78" s="9" t="str">
        <f t="shared" ca="1" si="2"/>
        <v/>
      </c>
      <c r="F78" t="str">
        <f t="shared" ca="1" si="3"/>
        <v/>
      </c>
      <c r="G78" t="str" cm="1">
        <f t="array" aca="1" ref="G78" ca="1">IF(A78="","",SUMPRODUCT(--(RawData[Telecaller Name]=A78),--(ISNUMBER(SEARCH("Wrong Lead Status",RawData[Error Type]))+ISNUMBER(SEARCH("RNR Classification Error",RawData[Error Type]))+ISNUMBER(SEARCH("Follow-up Error",RawData[Error Type]))&gt;0)))</f>
        <v/>
      </c>
      <c r="H78" t="str" cm="1">
        <f t="array" aca="1" ref="H78" ca="1">IF(A78="","",SUMPRODUCT(--(RawData[Telecaller Name]=A78),--ISNUMBER(SEARCH("Warm Status Mismatch",RawData[Error Type])))+SUMPRODUCT(--(RawData[Telecaller Name]=A78),--ISNUMBER(SEARCH("CRM Status Mismatch",RawData[Error Type])))+SUMPRODUCT(--(RawData[Telecaller Name]=A78),--ISNUMBER(SEARCH("Customer Location Not Captured",RawData[Error Type]))))</f>
        <v/>
      </c>
    </row>
    <row r="79" spans="1:8" x14ac:dyDescent="0.25">
      <c r="A79" t="str" cm="1">
        <f t="array" aca="1" ref="A79" ca="1">IFERROR(_xlfn.LET(_xlpm.n,_xlfn.UNIQUE(_xlfn._xlws.FILTER(RawData[Telecaller Name],RawData[Telecaller Name]&lt;&gt;"")),_xlpm.a,1-COUNTIFS(RawData[Telecaller Name],_xlpm.n,RawData[Error Flag],1)/COUNTIF(RawData[Telecaller Name],_xlpm.n),INDEX(_xlfn.SORTBY(_xlpm.n,_xlpm.a,-1),ROWS(A$6:A79))),"")</f>
        <v/>
      </c>
      <c r="B79" t="str">
        <f ca="1">IF(A79="","",COUNTIF(RawData[Telecaller Name],A79))</f>
        <v/>
      </c>
      <c r="C79" t="str">
        <f ca="1">IF(A79="","",MAX(0,B79-COUNTIFS(RawData[Telecaller Name],A79,RawData[Error Flag],"&gt;0")))</f>
        <v/>
      </c>
      <c r="D79" t="str">
        <f ca="1">IF(A79="","",SUMIFS(RawData[Error Flag],RawData[Telecaller Name],A79))</f>
        <v/>
      </c>
      <c r="E79" s="9" t="str">
        <f t="shared" ca="1" si="2"/>
        <v/>
      </c>
      <c r="F79" t="str">
        <f t="shared" ca="1" si="3"/>
        <v/>
      </c>
      <c r="G79" t="str" cm="1">
        <f t="array" aca="1" ref="G79" ca="1">IF(A79="","",SUMPRODUCT(--(RawData[Telecaller Name]=A79),--(ISNUMBER(SEARCH("Wrong Lead Status",RawData[Error Type]))+ISNUMBER(SEARCH("RNR Classification Error",RawData[Error Type]))+ISNUMBER(SEARCH("Follow-up Error",RawData[Error Type]))&gt;0)))</f>
        <v/>
      </c>
      <c r="H79" t="str" cm="1">
        <f t="array" aca="1" ref="H79" ca="1">IF(A79="","",SUMPRODUCT(--(RawData[Telecaller Name]=A79),--ISNUMBER(SEARCH("Warm Status Mismatch",RawData[Error Type])))+SUMPRODUCT(--(RawData[Telecaller Name]=A79),--ISNUMBER(SEARCH("CRM Status Mismatch",RawData[Error Type])))+SUMPRODUCT(--(RawData[Telecaller Name]=A79),--ISNUMBER(SEARCH("Customer Location Not Captured",RawData[Error Type]))))</f>
        <v/>
      </c>
    </row>
    <row r="80" spans="1:8" x14ac:dyDescent="0.25">
      <c r="A80" t="str" cm="1">
        <f t="array" aca="1" ref="A80" ca="1">IFERROR(_xlfn.LET(_xlpm.n,_xlfn.UNIQUE(_xlfn._xlws.FILTER(RawData[Telecaller Name],RawData[Telecaller Name]&lt;&gt;"")),_xlpm.a,1-COUNTIFS(RawData[Telecaller Name],_xlpm.n,RawData[Error Flag],1)/COUNTIF(RawData[Telecaller Name],_xlpm.n),INDEX(_xlfn.SORTBY(_xlpm.n,_xlpm.a,-1),ROWS(A$6:A80))),"")</f>
        <v/>
      </c>
      <c r="B80" t="str">
        <f ca="1">IF(A80="","",COUNTIF(RawData[Telecaller Name],A80))</f>
        <v/>
      </c>
      <c r="C80" t="str">
        <f ca="1">IF(A80="","",MAX(0,B80-COUNTIFS(RawData[Telecaller Name],A80,RawData[Error Flag],"&gt;0")))</f>
        <v/>
      </c>
      <c r="D80" t="str">
        <f ca="1">IF(A80="","",SUMIFS(RawData[Error Flag],RawData[Telecaller Name],A80))</f>
        <v/>
      </c>
      <c r="E80" s="9" t="str">
        <f t="shared" ca="1" si="2"/>
        <v/>
      </c>
      <c r="F80" t="str">
        <f t="shared" ca="1" si="3"/>
        <v/>
      </c>
      <c r="G80" t="str" cm="1">
        <f t="array" aca="1" ref="G80" ca="1">IF(A80="","",SUMPRODUCT(--(RawData[Telecaller Name]=A80),--(ISNUMBER(SEARCH("Wrong Lead Status",RawData[Error Type]))+ISNUMBER(SEARCH("RNR Classification Error",RawData[Error Type]))+ISNUMBER(SEARCH("Follow-up Error",RawData[Error Type]))&gt;0)))</f>
        <v/>
      </c>
      <c r="H80" t="str" cm="1">
        <f t="array" aca="1" ref="H80" ca="1">IF(A80="","",SUMPRODUCT(--(RawData[Telecaller Name]=A80),--ISNUMBER(SEARCH("Warm Status Mismatch",RawData[Error Type])))+SUMPRODUCT(--(RawData[Telecaller Name]=A80),--ISNUMBER(SEARCH("CRM Status Mismatch",RawData[Error Type])))+SUMPRODUCT(--(RawData[Telecaller Name]=A80),--ISNUMBER(SEARCH("Customer Location Not Captured",RawData[Error Type]))))</f>
        <v/>
      </c>
    </row>
    <row r="81" spans="1:8" x14ac:dyDescent="0.25">
      <c r="A81" t="str" cm="1">
        <f t="array" aca="1" ref="A81" ca="1">IFERROR(_xlfn.LET(_xlpm.n,_xlfn.UNIQUE(_xlfn._xlws.FILTER(RawData[Telecaller Name],RawData[Telecaller Name]&lt;&gt;"")),_xlpm.a,1-COUNTIFS(RawData[Telecaller Name],_xlpm.n,RawData[Error Flag],1)/COUNTIF(RawData[Telecaller Name],_xlpm.n),INDEX(_xlfn.SORTBY(_xlpm.n,_xlpm.a,-1),ROWS(A$6:A81))),"")</f>
        <v/>
      </c>
      <c r="B81" t="str">
        <f ca="1">IF(A81="","",COUNTIF(RawData[Telecaller Name],A81))</f>
        <v/>
      </c>
      <c r="C81" t="str">
        <f ca="1">IF(A81="","",MAX(0,B81-COUNTIFS(RawData[Telecaller Name],A81,RawData[Error Flag],"&gt;0")))</f>
        <v/>
      </c>
      <c r="D81" t="str">
        <f ca="1">IF(A81="","",SUMIFS(RawData[Error Flag],RawData[Telecaller Name],A81))</f>
        <v/>
      </c>
      <c r="E81" s="9" t="str">
        <f t="shared" ca="1" si="2"/>
        <v/>
      </c>
      <c r="F81" t="str">
        <f t="shared" ca="1" si="3"/>
        <v/>
      </c>
      <c r="G81" t="str" cm="1">
        <f t="array" aca="1" ref="G81" ca="1">IF(A81="","",SUMPRODUCT(--(RawData[Telecaller Name]=A81),--(ISNUMBER(SEARCH("Wrong Lead Status",RawData[Error Type]))+ISNUMBER(SEARCH("RNR Classification Error",RawData[Error Type]))+ISNUMBER(SEARCH("Follow-up Error",RawData[Error Type]))&gt;0)))</f>
        <v/>
      </c>
      <c r="H81" t="str" cm="1">
        <f t="array" aca="1" ref="H81" ca="1">IF(A81="","",SUMPRODUCT(--(RawData[Telecaller Name]=A81),--ISNUMBER(SEARCH("Warm Status Mismatch",RawData[Error Type])))+SUMPRODUCT(--(RawData[Telecaller Name]=A81),--ISNUMBER(SEARCH("CRM Status Mismatch",RawData[Error Type])))+SUMPRODUCT(--(RawData[Telecaller Name]=A81),--ISNUMBER(SEARCH("Customer Location Not Captured",RawData[Error Type]))))</f>
        <v/>
      </c>
    </row>
    <row r="82" spans="1:8" x14ac:dyDescent="0.25">
      <c r="A82" t="str" cm="1">
        <f t="array" aca="1" ref="A82" ca="1">IFERROR(_xlfn.LET(_xlpm.n,_xlfn.UNIQUE(_xlfn._xlws.FILTER(RawData[Telecaller Name],RawData[Telecaller Name]&lt;&gt;"")),_xlpm.a,1-COUNTIFS(RawData[Telecaller Name],_xlpm.n,RawData[Error Flag],1)/COUNTIF(RawData[Telecaller Name],_xlpm.n),INDEX(_xlfn.SORTBY(_xlpm.n,_xlpm.a,-1),ROWS(A$6:A82))),"")</f>
        <v/>
      </c>
      <c r="B82" t="str">
        <f ca="1">IF(A82="","",COUNTIF(RawData[Telecaller Name],A82))</f>
        <v/>
      </c>
      <c r="C82" t="str">
        <f ca="1">IF(A82="","",MAX(0,B82-COUNTIFS(RawData[Telecaller Name],A82,RawData[Error Flag],"&gt;0")))</f>
        <v/>
      </c>
      <c r="D82" t="str">
        <f ca="1">IF(A82="","",SUMIFS(RawData[Error Flag],RawData[Telecaller Name],A82))</f>
        <v/>
      </c>
      <c r="E82" s="9" t="str">
        <f t="shared" ca="1" si="2"/>
        <v/>
      </c>
      <c r="F82" t="str">
        <f t="shared" ca="1" si="3"/>
        <v/>
      </c>
      <c r="G82" t="str" cm="1">
        <f t="array" aca="1" ref="G82" ca="1">IF(A82="","",SUMPRODUCT(--(RawData[Telecaller Name]=A82),--(ISNUMBER(SEARCH("Wrong Lead Status",RawData[Error Type]))+ISNUMBER(SEARCH("RNR Classification Error",RawData[Error Type]))+ISNUMBER(SEARCH("Follow-up Error",RawData[Error Type]))&gt;0)))</f>
        <v/>
      </c>
      <c r="H82" t="str" cm="1">
        <f t="array" aca="1" ref="H82" ca="1">IF(A82="","",SUMPRODUCT(--(RawData[Telecaller Name]=A82),--ISNUMBER(SEARCH("Warm Status Mismatch",RawData[Error Type])))+SUMPRODUCT(--(RawData[Telecaller Name]=A82),--ISNUMBER(SEARCH("CRM Status Mismatch",RawData[Error Type])))+SUMPRODUCT(--(RawData[Telecaller Name]=A82),--ISNUMBER(SEARCH("Customer Location Not Captured",RawData[Error Type]))))</f>
        <v/>
      </c>
    </row>
    <row r="83" spans="1:8" x14ac:dyDescent="0.25">
      <c r="A83" t="str" cm="1">
        <f t="array" aca="1" ref="A83" ca="1">IFERROR(_xlfn.LET(_xlpm.n,_xlfn.UNIQUE(_xlfn._xlws.FILTER(RawData[Telecaller Name],RawData[Telecaller Name]&lt;&gt;"")),_xlpm.a,1-COUNTIFS(RawData[Telecaller Name],_xlpm.n,RawData[Error Flag],1)/COUNTIF(RawData[Telecaller Name],_xlpm.n),INDEX(_xlfn.SORTBY(_xlpm.n,_xlpm.a,-1),ROWS(A$6:A83))),"")</f>
        <v/>
      </c>
      <c r="B83" t="str">
        <f ca="1">IF(A83="","",COUNTIF(RawData[Telecaller Name],A83))</f>
        <v/>
      </c>
      <c r="C83" t="str">
        <f ca="1">IF(A83="","",MAX(0,B83-COUNTIFS(RawData[Telecaller Name],A83,RawData[Error Flag],"&gt;0")))</f>
        <v/>
      </c>
      <c r="D83" t="str">
        <f ca="1">IF(A83="","",SUMIFS(RawData[Error Flag],RawData[Telecaller Name],A83))</f>
        <v/>
      </c>
      <c r="E83" s="9" t="str">
        <f t="shared" ca="1" si="2"/>
        <v/>
      </c>
      <c r="F83" t="str">
        <f t="shared" ca="1" si="3"/>
        <v/>
      </c>
      <c r="G83" t="str" cm="1">
        <f t="array" aca="1" ref="G83" ca="1">IF(A83="","",SUMPRODUCT(--(RawData[Telecaller Name]=A83),--(ISNUMBER(SEARCH("Wrong Lead Status",RawData[Error Type]))+ISNUMBER(SEARCH("RNR Classification Error",RawData[Error Type]))+ISNUMBER(SEARCH("Follow-up Error",RawData[Error Type]))&gt;0)))</f>
        <v/>
      </c>
      <c r="H83" t="str" cm="1">
        <f t="array" aca="1" ref="H83" ca="1">IF(A83="","",SUMPRODUCT(--(RawData[Telecaller Name]=A83),--ISNUMBER(SEARCH("Warm Status Mismatch",RawData[Error Type])))+SUMPRODUCT(--(RawData[Telecaller Name]=A83),--ISNUMBER(SEARCH("CRM Status Mismatch",RawData[Error Type])))+SUMPRODUCT(--(RawData[Telecaller Name]=A83),--ISNUMBER(SEARCH("Customer Location Not Captured",RawData[Error Type]))))</f>
        <v/>
      </c>
    </row>
    <row r="84" spans="1:8" x14ac:dyDescent="0.25">
      <c r="A84" t="str" cm="1">
        <f t="array" aca="1" ref="A84" ca="1">IFERROR(_xlfn.LET(_xlpm.n,_xlfn.UNIQUE(_xlfn._xlws.FILTER(RawData[Telecaller Name],RawData[Telecaller Name]&lt;&gt;"")),_xlpm.a,1-COUNTIFS(RawData[Telecaller Name],_xlpm.n,RawData[Error Flag],1)/COUNTIF(RawData[Telecaller Name],_xlpm.n),INDEX(_xlfn.SORTBY(_xlpm.n,_xlpm.a,-1),ROWS(A$6:A84))),"")</f>
        <v/>
      </c>
      <c r="B84" t="str">
        <f ca="1">IF(A84="","",COUNTIF(RawData[Telecaller Name],A84))</f>
        <v/>
      </c>
      <c r="C84" t="str">
        <f ca="1">IF(A84="","",MAX(0,B84-COUNTIFS(RawData[Telecaller Name],A84,RawData[Error Flag],"&gt;0")))</f>
        <v/>
      </c>
      <c r="D84" t="str">
        <f ca="1">IF(A84="","",SUMIFS(RawData[Error Flag],RawData[Telecaller Name],A84))</f>
        <v/>
      </c>
      <c r="E84" s="9" t="str">
        <f t="shared" ca="1" si="2"/>
        <v/>
      </c>
      <c r="F84" t="str">
        <f t="shared" ca="1" si="3"/>
        <v/>
      </c>
      <c r="G84" t="str" cm="1">
        <f t="array" aca="1" ref="G84" ca="1">IF(A84="","",SUMPRODUCT(--(RawData[Telecaller Name]=A84),--(ISNUMBER(SEARCH("Wrong Lead Status",RawData[Error Type]))+ISNUMBER(SEARCH("RNR Classification Error",RawData[Error Type]))+ISNUMBER(SEARCH("Follow-up Error",RawData[Error Type]))&gt;0)))</f>
        <v/>
      </c>
      <c r="H84" t="str" cm="1">
        <f t="array" aca="1" ref="H84" ca="1">IF(A84="","",SUMPRODUCT(--(RawData[Telecaller Name]=A84),--ISNUMBER(SEARCH("Warm Status Mismatch",RawData[Error Type])))+SUMPRODUCT(--(RawData[Telecaller Name]=A84),--ISNUMBER(SEARCH("CRM Status Mismatch",RawData[Error Type])))+SUMPRODUCT(--(RawData[Telecaller Name]=A84),--ISNUMBER(SEARCH("Customer Location Not Captured",RawData[Error Type]))))</f>
        <v/>
      </c>
    </row>
    <row r="85" spans="1:8" x14ac:dyDescent="0.25">
      <c r="A85" t="str" cm="1">
        <f t="array" aca="1" ref="A85" ca="1">IFERROR(_xlfn.LET(_xlpm.n,_xlfn.UNIQUE(_xlfn._xlws.FILTER(RawData[Telecaller Name],RawData[Telecaller Name]&lt;&gt;"")),_xlpm.a,1-COUNTIFS(RawData[Telecaller Name],_xlpm.n,RawData[Error Flag],1)/COUNTIF(RawData[Telecaller Name],_xlpm.n),INDEX(_xlfn.SORTBY(_xlpm.n,_xlpm.a,-1),ROWS(A$6:A85))),"")</f>
        <v/>
      </c>
      <c r="B85" t="str">
        <f ca="1">IF(A85="","",COUNTIF(RawData[Telecaller Name],A85))</f>
        <v/>
      </c>
      <c r="C85" t="str">
        <f ca="1">IF(A85="","",MAX(0,B85-COUNTIFS(RawData[Telecaller Name],A85,RawData[Error Flag],"&gt;0")))</f>
        <v/>
      </c>
      <c r="D85" t="str">
        <f ca="1">IF(A85="","",SUMIFS(RawData[Error Flag],RawData[Telecaller Name],A85))</f>
        <v/>
      </c>
      <c r="E85" s="9" t="str">
        <f t="shared" ca="1" si="2"/>
        <v/>
      </c>
      <c r="F85" t="str">
        <f t="shared" ca="1" si="3"/>
        <v/>
      </c>
      <c r="G85" t="str" cm="1">
        <f t="array" aca="1" ref="G85" ca="1">IF(A85="","",SUMPRODUCT(--(RawData[Telecaller Name]=A85),--(ISNUMBER(SEARCH("Wrong Lead Status",RawData[Error Type]))+ISNUMBER(SEARCH("RNR Classification Error",RawData[Error Type]))+ISNUMBER(SEARCH("Follow-up Error",RawData[Error Type]))&gt;0)))</f>
        <v/>
      </c>
      <c r="H85" t="str" cm="1">
        <f t="array" aca="1" ref="H85" ca="1">IF(A85="","",SUMPRODUCT(--(RawData[Telecaller Name]=A85),--ISNUMBER(SEARCH("Warm Status Mismatch",RawData[Error Type])))+SUMPRODUCT(--(RawData[Telecaller Name]=A85),--ISNUMBER(SEARCH("CRM Status Mismatch",RawData[Error Type])))+SUMPRODUCT(--(RawData[Telecaller Name]=A85),--ISNUMBER(SEARCH("Customer Location Not Captured",RawData[Error Type]))))</f>
        <v/>
      </c>
    </row>
    <row r="86" spans="1:8" x14ac:dyDescent="0.25">
      <c r="A86" t="str" cm="1">
        <f t="array" aca="1" ref="A86" ca="1">IFERROR(_xlfn.LET(_xlpm.n,_xlfn.UNIQUE(_xlfn._xlws.FILTER(RawData[Telecaller Name],RawData[Telecaller Name]&lt;&gt;"")),_xlpm.a,1-COUNTIFS(RawData[Telecaller Name],_xlpm.n,RawData[Error Flag],1)/COUNTIF(RawData[Telecaller Name],_xlpm.n),INDEX(_xlfn.SORTBY(_xlpm.n,_xlpm.a,-1),ROWS(A$6:A86))),"")</f>
        <v/>
      </c>
      <c r="B86" t="str">
        <f ca="1">IF(A86="","",COUNTIF(RawData[Telecaller Name],A86))</f>
        <v/>
      </c>
      <c r="C86" t="str">
        <f ca="1">IF(A86="","",MAX(0,B86-COUNTIFS(RawData[Telecaller Name],A86,RawData[Error Flag],"&gt;0")))</f>
        <v/>
      </c>
      <c r="D86" t="str">
        <f ca="1">IF(A86="","",SUMIFS(RawData[Error Flag],RawData[Telecaller Name],A86))</f>
        <v/>
      </c>
      <c r="E86" s="9" t="str">
        <f t="shared" ca="1" si="2"/>
        <v/>
      </c>
      <c r="F86" t="str">
        <f t="shared" ca="1" si="3"/>
        <v/>
      </c>
      <c r="G86" t="str" cm="1">
        <f t="array" aca="1" ref="G86" ca="1">IF(A86="","",SUMPRODUCT(--(RawData[Telecaller Name]=A86),--(ISNUMBER(SEARCH("Wrong Lead Status",RawData[Error Type]))+ISNUMBER(SEARCH("RNR Classification Error",RawData[Error Type]))+ISNUMBER(SEARCH("Follow-up Error",RawData[Error Type]))&gt;0)))</f>
        <v/>
      </c>
      <c r="H86" t="str" cm="1">
        <f t="array" aca="1" ref="H86" ca="1">IF(A86="","",SUMPRODUCT(--(RawData[Telecaller Name]=A86),--ISNUMBER(SEARCH("Warm Status Mismatch",RawData[Error Type])))+SUMPRODUCT(--(RawData[Telecaller Name]=A86),--ISNUMBER(SEARCH("CRM Status Mismatch",RawData[Error Type])))+SUMPRODUCT(--(RawData[Telecaller Name]=A86),--ISNUMBER(SEARCH("Customer Location Not Captured",RawData[Error Type]))))</f>
        <v/>
      </c>
    </row>
    <row r="87" spans="1:8" x14ac:dyDescent="0.25">
      <c r="A87" t="str" cm="1">
        <f t="array" aca="1" ref="A87" ca="1">IFERROR(_xlfn.LET(_xlpm.n,_xlfn.UNIQUE(_xlfn._xlws.FILTER(RawData[Telecaller Name],RawData[Telecaller Name]&lt;&gt;"")),_xlpm.a,1-COUNTIFS(RawData[Telecaller Name],_xlpm.n,RawData[Error Flag],1)/COUNTIF(RawData[Telecaller Name],_xlpm.n),INDEX(_xlfn.SORTBY(_xlpm.n,_xlpm.a,-1),ROWS(A$6:A87))),"")</f>
        <v/>
      </c>
      <c r="B87" t="str">
        <f ca="1">IF(A87="","",COUNTIF(RawData[Telecaller Name],A87))</f>
        <v/>
      </c>
      <c r="C87" t="str">
        <f ca="1">IF(A87="","",MAX(0,B87-COUNTIFS(RawData[Telecaller Name],A87,RawData[Error Flag],"&gt;0")))</f>
        <v/>
      </c>
      <c r="D87" t="str">
        <f ca="1">IF(A87="","",SUMIFS(RawData[Error Flag],RawData[Telecaller Name],A87))</f>
        <v/>
      </c>
      <c r="E87" s="9" t="str">
        <f t="shared" ca="1" si="2"/>
        <v/>
      </c>
      <c r="F87" t="str">
        <f t="shared" ca="1" si="3"/>
        <v/>
      </c>
      <c r="G87" t="str" cm="1">
        <f t="array" aca="1" ref="G87" ca="1">IF(A87="","",SUMPRODUCT(--(RawData[Telecaller Name]=A87),--(ISNUMBER(SEARCH("Wrong Lead Status",RawData[Error Type]))+ISNUMBER(SEARCH("RNR Classification Error",RawData[Error Type]))+ISNUMBER(SEARCH("Follow-up Error",RawData[Error Type]))&gt;0)))</f>
        <v/>
      </c>
      <c r="H87" t="str" cm="1">
        <f t="array" aca="1" ref="H87" ca="1">IF(A87="","",SUMPRODUCT(--(RawData[Telecaller Name]=A87),--ISNUMBER(SEARCH("Warm Status Mismatch",RawData[Error Type])))+SUMPRODUCT(--(RawData[Telecaller Name]=A87),--ISNUMBER(SEARCH("CRM Status Mismatch",RawData[Error Type])))+SUMPRODUCT(--(RawData[Telecaller Name]=A87),--ISNUMBER(SEARCH("Customer Location Not Captured",RawData[Error Type]))))</f>
        <v/>
      </c>
    </row>
    <row r="88" spans="1:8" x14ac:dyDescent="0.25">
      <c r="A88" t="str" cm="1">
        <f t="array" aca="1" ref="A88" ca="1">IFERROR(_xlfn.LET(_xlpm.n,_xlfn.UNIQUE(_xlfn._xlws.FILTER(RawData[Telecaller Name],RawData[Telecaller Name]&lt;&gt;"")),_xlpm.a,1-COUNTIFS(RawData[Telecaller Name],_xlpm.n,RawData[Error Flag],1)/COUNTIF(RawData[Telecaller Name],_xlpm.n),INDEX(_xlfn.SORTBY(_xlpm.n,_xlpm.a,-1),ROWS(A$6:A88))),"")</f>
        <v/>
      </c>
      <c r="B88" t="str">
        <f ca="1">IF(A88="","",COUNTIF(RawData[Telecaller Name],A88))</f>
        <v/>
      </c>
      <c r="C88" t="str">
        <f ca="1">IF(A88="","",MAX(0,B88-COUNTIFS(RawData[Telecaller Name],A88,RawData[Error Flag],"&gt;0")))</f>
        <v/>
      </c>
      <c r="D88" t="str">
        <f ca="1">IF(A88="","",SUMIFS(RawData[Error Flag],RawData[Telecaller Name],A88))</f>
        <v/>
      </c>
      <c r="E88" s="9" t="str">
        <f t="shared" ca="1" si="2"/>
        <v/>
      </c>
      <c r="F88" t="str">
        <f t="shared" ca="1" si="3"/>
        <v/>
      </c>
      <c r="G88" t="str" cm="1">
        <f t="array" aca="1" ref="G88" ca="1">IF(A88="","",SUMPRODUCT(--(RawData[Telecaller Name]=A88),--(ISNUMBER(SEARCH("Wrong Lead Status",RawData[Error Type]))+ISNUMBER(SEARCH("RNR Classification Error",RawData[Error Type]))+ISNUMBER(SEARCH("Follow-up Error",RawData[Error Type]))&gt;0)))</f>
        <v/>
      </c>
      <c r="H88" t="str" cm="1">
        <f t="array" aca="1" ref="H88" ca="1">IF(A88="","",SUMPRODUCT(--(RawData[Telecaller Name]=A88),--ISNUMBER(SEARCH("Warm Status Mismatch",RawData[Error Type])))+SUMPRODUCT(--(RawData[Telecaller Name]=A88),--ISNUMBER(SEARCH("CRM Status Mismatch",RawData[Error Type])))+SUMPRODUCT(--(RawData[Telecaller Name]=A88),--ISNUMBER(SEARCH("Customer Location Not Captured",RawData[Error Type]))))</f>
        <v/>
      </c>
    </row>
    <row r="89" spans="1:8" x14ac:dyDescent="0.25">
      <c r="A89" t="str" cm="1">
        <f t="array" aca="1" ref="A89" ca="1">IFERROR(_xlfn.LET(_xlpm.n,_xlfn.UNIQUE(_xlfn._xlws.FILTER(RawData[Telecaller Name],RawData[Telecaller Name]&lt;&gt;"")),_xlpm.a,1-COUNTIFS(RawData[Telecaller Name],_xlpm.n,RawData[Error Flag],1)/COUNTIF(RawData[Telecaller Name],_xlpm.n),INDEX(_xlfn.SORTBY(_xlpm.n,_xlpm.a,-1),ROWS(A$6:A89))),"")</f>
        <v/>
      </c>
      <c r="B89" t="str">
        <f ca="1">IF(A89="","",COUNTIF(RawData[Telecaller Name],A89))</f>
        <v/>
      </c>
      <c r="C89" t="str">
        <f ca="1">IF(A89="","",MAX(0,B89-COUNTIFS(RawData[Telecaller Name],A89,RawData[Error Flag],"&gt;0")))</f>
        <v/>
      </c>
      <c r="D89" t="str">
        <f ca="1">IF(A89="","",SUMIFS(RawData[Error Flag],RawData[Telecaller Name],A89))</f>
        <v/>
      </c>
      <c r="E89" s="9" t="str">
        <f t="shared" ca="1" si="2"/>
        <v/>
      </c>
      <c r="F89" t="str">
        <f t="shared" ca="1" si="3"/>
        <v/>
      </c>
      <c r="G89" t="str" cm="1">
        <f t="array" aca="1" ref="G89" ca="1">IF(A89="","",SUMPRODUCT(--(RawData[Telecaller Name]=A89),--(ISNUMBER(SEARCH("Wrong Lead Status",RawData[Error Type]))+ISNUMBER(SEARCH("RNR Classification Error",RawData[Error Type]))+ISNUMBER(SEARCH("Follow-up Error",RawData[Error Type]))&gt;0)))</f>
        <v/>
      </c>
      <c r="H89" t="str" cm="1">
        <f t="array" aca="1" ref="H89" ca="1">IF(A89="","",SUMPRODUCT(--(RawData[Telecaller Name]=A89),--ISNUMBER(SEARCH("Warm Status Mismatch",RawData[Error Type])))+SUMPRODUCT(--(RawData[Telecaller Name]=A89),--ISNUMBER(SEARCH("CRM Status Mismatch",RawData[Error Type])))+SUMPRODUCT(--(RawData[Telecaller Name]=A89),--ISNUMBER(SEARCH("Customer Location Not Captured",RawData[Error Type]))))</f>
        <v/>
      </c>
    </row>
    <row r="90" spans="1:8" x14ac:dyDescent="0.25">
      <c r="A90" t="str" cm="1">
        <f t="array" aca="1" ref="A90" ca="1">IFERROR(_xlfn.LET(_xlpm.n,_xlfn.UNIQUE(_xlfn._xlws.FILTER(RawData[Telecaller Name],RawData[Telecaller Name]&lt;&gt;"")),_xlpm.a,1-COUNTIFS(RawData[Telecaller Name],_xlpm.n,RawData[Error Flag],1)/COUNTIF(RawData[Telecaller Name],_xlpm.n),INDEX(_xlfn.SORTBY(_xlpm.n,_xlpm.a,-1),ROWS(A$6:A90))),"")</f>
        <v/>
      </c>
      <c r="B90" t="str">
        <f ca="1">IF(A90="","",COUNTIF(RawData[Telecaller Name],A90))</f>
        <v/>
      </c>
      <c r="C90" t="str">
        <f ca="1">IF(A90="","",MAX(0,B90-COUNTIFS(RawData[Telecaller Name],A90,RawData[Error Flag],"&gt;0")))</f>
        <v/>
      </c>
      <c r="D90" t="str">
        <f ca="1">IF(A90="","",SUMIFS(RawData[Error Flag],RawData[Telecaller Name],A90))</f>
        <v/>
      </c>
      <c r="E90" s="9" t="str">
        <f t="shared" ca="1" si="2"/>
        <v/>
      </c>
      <c r="F90" t="str">
        <f t="shared" ca="1" si="3"/>
        <v/>
      </c>
      <c r="G90" t="str" cm="1">
        <f t="array" aca="1" ref="G90" ca="1">IF(A90="","",SUMPRODUCT(--(RawData[Telecaller Name]=A90),--(ISNUMBER(SEARCH("Wrong Lead Status",RawData[Error Type]))+ISNUMBER(SEARCH("RNR Classification Error",RawData[Error Type]))+ISNUMBER(SEARCH("Follow-up Error",RawData[Error Type]))&gt;0)))</f>
        <v/>
      </c>
      <c r="H90" t="str" cm="1">
        <f t="array" aca="1" ref="H90" ca="1">IF(A90="","",SUMPRODUCT(--(RawData[Telecaller Name]=A90),--ISNUMBER(SEARCH("Warm Status Mismatch",RawData[Error Type])))+SUMPRODUCT(--(RawData[Telecaller Name]=A90),--ISNUMBER(SEARCH("CRM Status Mismatch",RawData[Error Type])))+SUMPRODUCT(--(RawData[Telecaller Name]=A90),--ISNUMBER(SEARCH("Customer Location Not Captured",RawData[Error Type]))))</f>
        <v/>
      </c>
    </row>
    <row r="91" spans="1:8" x14ac:dyDescent="0.25">
      <c r="A91" t="str" cm="1">
        <f t="array" aca="1" ref="A91" ca="1">IFERROR(_xlfn.LET(_xlpm.n,_xlfn.UNIQUE(_xlfn._xlws.FILTER(RawData[Telecaller Name],RawData[Telecaller Name]&lt;&gt;"")),_xlpm.a,1-COUNTIFS(RawData[Telecaller Name],_xlpm.n,RawData[Error Flag],1)/COUNTIF(RawData[Telecaller Name],_xlpm.n),INDEX(_xlfn.SORTBY(_xlpm.n,_xlpm.a,-1),ROWS(A$6:A91))),"")</f>
        <v/>
      </c>
      <c r="B91" t="str">
        <f ca="1">IF(A91="","",COUNTIF(RawData[Telecaller Name],A91))</f>
        <v/>
      </c>
      <c r="C91" t="str">
        <f ca="1">IF(A91="","",MAX(0,B91-COUNTIFS(RawData[Telecaller Name],A91,RawData[Error Flag],"&gt;0")))</f>
        <v/>
      </c>
      <c r="D91" t="str">
        <f ca="1">IF(A91="","",SUMIFS(RawData[Error Flag],RawData[Telecaller Name],A91))</f>
        <v/>
      </c>
      <c r="E91" s="9" t="str">
        <f t="shared" ca="1" si="2"/>
        <v/>
      </c>
      <c r="F91" t="str">
        <f t="shared" ca="1" si="3"/>
        <v/>
      </c>
      <c r="G91" t="str" cm="1">
        <f t="array" aca="1" ref="G91" ca="1">IF(A91="","",SUMPRODUCT(--(RawData[Telecaller Name]=A91),--(ISNUMBER(SEARCH("Wrong Lead Status",RawData[Error Type]))+ISNUMBER(SEARCH("RNR Classification Error",RawData[Error Type]))+ISNUMBER(SEARCH("Follow-up Error",RawData[Error Type]))&gt;0)))</f>
        <v/>
      </c>
      <c r="H91" t="str" cm="1">
        <f t="array" aca="1" ref="H91" ca="1">IF(A91="","",SUMPRODUCT(--(RawData[Telecaller Name]=A91),--ISNUMBER(SEARCH("Warm Status Mismatch",RawData[Error Type])))+SUMPRODUCT(--(RawData[Telecaller Name]=A91),--ISNUMBER(SEARCH("CRM Status Mismatch",RawData[Error Type])))+SUMPRODUCT(--(RawData[Telecaller Name]=A91),--ISNUMBER(SEARCH("Customer Location Not Captured",RawData[Error Type]))))</f>
        <v/>
      </c>
    </row>
    <row r="92" spans="1:8" x14ac:dyDescent="0.25">
      <c r="A92" t="str" cm="1">
        <f t="array" aca="1" ref="A92" ca="1">IFERROR(_xlfn.LET(_xlpm.n,_xlfn.UNIQUE(_xlfn._xlws.FILTER(RawData[Telecaller Name],RawData[Telecaller Name]&lt;&gt;"")),_xlpm.a,1-COUNTIFS(RawData[Telecaller Name],_xlpm.n,RawData[Error Flag],1)/COUNTIF(RawData[Telecaller Name],_xlpm.n),INDEX(_xlfn.SORTBY(_xlpm.n,_xlpm.a,-1),ROWS(A$6:A92))),"")</f>
        <v/>
      </c>
      <c r="B92" t="str">
        <f ca="1">IF(A92="","",COUNTIF(RawData[Telecaller Name],A92))</f>
        <v/>
      </c>
      <c r="C92" t="str">
        <f ca="1">IF(A92="","",MAX(0,B92-COUNTIFS(RawData[Telecaller Name],A92,RawData[Error Flag],"&gt;0")))</f>
        <v/>
      </c>
      <c r="D92" t="str">
        <f ca="1">IF(A92="","",SUMIFS(RawData[Error Flag],RawData[Telecaller Name],A92))</f>
        <v/>
      </c>
      <c r="E92" s="9" t="str">
        <f t="shared" ca="1" si="2"/>
        <v/>
      </c>
      <c r="F92" t="str">
        <f t="shared" ca="1" si="3"/>
        <v/>
      </c>
      <c r="G92" t="str" cm="1">
        <f t="array" aca="1" ref="G92" ca="1">IF(A92="","",SUMPRODUCT(--(RawData[Telecaller Name]=A92),--(ISNUMBER(SEARCH("Wrong Lead Status",RawData[Error Type]))+ISNUMBER(SEARCH("RNR Classification Error",RawData[Error Type]))+ISNUMBER(SEARCH("Follow-up Error",RawData[Error Type]))&gt;0)))</f>
        <v/>
      </c>
      <c r="H92" t="str" cm="1">
        <f t="array" aca="1" ref="H92" ca="1">IF(A92="","",SUMPRODUCT(--(RawData[Telecaller Name]=A92),--ISNUMBER(SEARCH("Warm Status Mismatch",RawData[Error Type])))+SUMPRODUCT(--(RawData[Telecaller Name]=A92),--ISNUMBER(SEARCH("CRM Status Mismatch",RawData[Error Type])))+SUMPRODUCT(--(RawData[Telecaller Name]=A92),--ISNUMBER(SEARCH("Customer Location Not Captured",RawData[Error Type]))))</f>
        <v/>
      </c>
    </row>
    <row r="93" spans="1:8" x14ac:dyDescent="0.25">
      <c r="A93" t="str" cm="1">
        <f t="array" aca="1" ref="A93" ca="1">IFERROR(_xlfn.LET(_xlpm.n,_xlfn.UNIQUE(_xlfn._xlws.FILTER(RawData[Telecaller Name],RawData[Telecaller Name]&lt;&gt;"")),_xlpm.a,1-COUNTIFS(RawData[Telecaller Name],_xlpm.n,RawData[Error Flag],1)/COUNTIF(RawData[Telecaller Name],_xlpm.n),INDEX(_xlfn.SORTBY(_xlpm.n,_xlpm.a,-1),ROWS(A$6:A93))),"")</f>
        <v/>
      </c>
      <c r="B93" t="str">
        <f ca="1">IF(A93="","",COUNTIF(RawData[Telecaller Name],A93))</f>
        <v/>
      </c>
      <c r="C93" t="str">
        <f ca="1">IF(A93="","",MAX(0,B93-COUNTIFS(RawData[Telecaller Name],A93,RawData[Error Flag],"&gt;0")))</f>
        <v/>
      </c>
      <c r="D93" t="str">
        <f ca="1">IF(A93="","",SUMIFS(RawData[Error Flag],RawData[Telecaller Name],A93))</f>
        <v/>
      </c>
      <c r="E93" s="9" t="str">
        <f t="shared" ca="1" si="2"/>
        <v/>
      </c>
      <c r="F93" t="str">
        <f t="shared" ca="1" si="3"/>
        <v/>
      </c>
      <c r="G93" t="str" cm="1">
        <f t="array" aca="1" ref="G93" ca="1">IF(A93="","",SUMPRODUCT(--(RawData[Telecaller Name]=A93),--(ISNUMBER(SEARCH("Wrong Lead Status",RawData[Error Type]))+ISNUMBER(SEARCH("RNR Classification Error",RawData[Error Type]))+ISNUMBER(SEARCH("Follow-up Error",RawData[Error Type]))&gt;0)))</f>
        <v/>
      </c>
      <c r="H93" t="str" cm="1">
        <f t="array" aca="1" ref="H93" ca="1">IF(A93="","",SUMPRODUCT(--(RawData[Telecaller Name]=A93),--ISNUMBER(SEARCH("Warm Status Mismatch",RawData[Error Type])))+SUMPRODUCT(--(RawData[Telecaller Name]=A93),--ISNUMBER(SEARCH("CRM Status Mismatch",RawData[Error Type])))+SUMPRODUCT(--(RawData[Telecaller Name]=A93),--ISNUMBER(SEARCH("Customer Location Not Captured",RawData[Error Type]))))</f>
        <v/>
      </c>
    </row>
    <row r="94" spans="1:8" x14ac:dyDescent="0.25">
      <c r="A94" t="str" cm="1">
        <f t="array" aca="1" ref="A94" ca="1">IFERROR(_xlfn.LET(_xlpm.n,_xlfn.UNIQUE(_xlfn._xlws.FILTER(RawData[Telecaller Name],RawData[Telecaller Name]&lt;&gt;"")),_xlpm.a,1-COUNTIFS(RawData[Telecaller Name],_xlpm.n,RawData[Error Flag],1)/COUNTIF(RawData[Telecaller Name],_xlpm.n),INDEX(_xlfn.SORTBY(_xlpm.n,_xlpm.a,-1),ROWS(A$6:A94))),"")</f>
        <v/>
      </c>
      <c r="B94" t="str">
        <f ca="1">IF(A94="","",COUNTIF(RawData[Telecaller Name],A94))</f>
        <v/>
      </c>
      <c r="C94" t="str">
        <f ca="1">IF(A94="","",MAX(0,B94-COUNTIFS(RawData[Telecaller Name],A94,RawData[Error Flag],"&gt;0")))</f>
        <v/>
      </c>
      <c r="D94" t="str">
        <f ca="1">IF(A94="","",SUMIFS(RawData[Error Flag],RawData[Telecaller Name],A94))</f>
        <v/>
      </c>
      <c r="E94" s="9" t="str">
        <f t="shared" ca="1" si="2"/>
        <v/>
      </c>
      <c r="F94" t="str">
        <f t="shared" ca="1" si="3"/>
        <v/>
      </c>
      <c r="G94" t="str" cm="1">
        <f t="array" aca="1" ref="G94" ca="1">IF(A94="","",SUMPRODUCT(--(RawData[Telecaller Name]=A94),--(ISNUMBER(SEARCH("Wrong Lead Status",RawData[Error Type]))+ISNUMBER(SEARCH("RNR Classification Error",RawData[Error Type]))+ISNUMBER(SEARCH("Follow-up Error",RawData[Error Type]))&gt;0)))</f>
        <v/>
      </c>
      <c r="H94" t="str" cm="1">
        <f t="array" aca="1" ref="H94" ca="1">IF(A94="","",SUMPRODUCT(--(RawData[Telecaller Name]=A94),--ISNUMBER(SEARCH("Warm Status Mismatch",RawData[Error Type])))+SUMPRODUCT(--(RawData[Telecaller Name]=A94),--ISNUMBER(SEARCH("CRM Status Mismatch",RawData[Error Type])))+SUMPRODUCT(--(RawData[Telecaller Name]=A94),--ISNUMBER(SEARCH("Customer Location Not Captured",RawData[Error Type]))))</f>
        <v/>
      </c>
    </row>
    <row r="95" spans="1:8" x14ac:dyDescent="0.25">
      <c r="A95" t="str" cm="1">
        <f t="array" aca="1" ref="A95" ca="1">IFERROR(_xlfn.LET(_xlpm.n,_xlfn.UNIQUE(_xlfn._xlws.FILTER(RawData[Telecaller Name],RawData[Telecaller Name]&lt;&gt;"")),_xlpm.a,1-COUNTIFS(RawData[Telecaller Name],_xlpm.n,RawData[Error Flag],1)/COUNTIF(RawData[Telecaller Name],_xlpm.n),INDEX(_xlfn.SORTBY(_xlpm.n,_xlpm.a,-1),ROWS(A$6:A95))),"")</f>
        <v/>
      </c>
      <c r="B95" t="str">
        <f ca="1">IF(A95="","",COUNTIF(RawData[Telecaller Name],A95))</f>
        <v/>
      </c>
      <c r="C95" t="str">
        <f ca="1">IF(A95="","",MAX(0,B95-COUNTIFS(RawData[Telecaller Name],A95,RawData[Error Flag],"&gt;0")))</f>
        <v/>
      </c>
      <c r="D95" t="str">
        <f ca="1">IF(A95="","",SUMIFS(RawData[Error Flag],RawData[Telecaller Name],A95))</f>
        <v/>
      </c>
      <c r="E95" s="9" t="str">
        <f t="shared" ca="1" si="2"/>
        <v/>
      </c>
      <c r="F95" t="str">
        <f t="shared" ca="1" si="3"/>
        <v/>
      </c>
      <c r="G95" t="str" cm="1">
        <f t="array" aca="1" ref="G95" ca="1">IF(A95="","",SUMPRODUCT(--(RawData[Telecaller Name]=A95),--(ISNUMBER(SEARCH("Wrong Lead Status",RawData[Error Type]))+ISNUMBER(SEARCH("RNR Classification Error",RawData[Error Type]))+ISNUMBER(SEARCH("Follow-up Error",RawData[Error Type]))&gt;0)))</f>
        <v/>
      </c>
      <c r="H95" t="str" cm="1">
        <f t="array" aca="1" ref="H95" ca="1">IF(A95="","",SUMPRODUCT(--(RawData[Telecaller Name]=A95),--ISNUMBER(SEARCH("Warm Status Mismatch",RawData[Error Type])))+SUMPRODUCT(--(RawData[Telecaller Name]=A95),--ISNUMBER(SEARCH("CRM Status Mismatch",RawData[Error Type])))+SUMPRODUCT(--(RawData[Telecaller Name]=A95),--ISNUMBER(SEARCH("Customer Location Not Captured",RawData[Error Type]))))</f>
        <v/>
      </c>
    </row>
    <row r="96" spans="1:8" x14ac:dyDescent="0.25">
      <c r="A96" t="str" cm="1">
        <f t="array" aca="1" ref="A96" ca="1">IFERROR(_xlfn.LET(_xlpm.n,_xlfn.UNIQUE(_xlfn._xlws.FILTER(RawData[Telecaller Name],RawData[Telecaller Name]&lt;&gt;"")),_xlpm.a,1-COUNTIFS(RawData[Telecaller Name],_xlpm.n,RawData[Error Flag],1)/COUNTIF(RawData[Telecaller Name],_xlpm.n),INDEX(_xlfn.SORTBY(_xlpm.n,_xlpm.a,-1),ROWS(A$6:A96))),"")</f>
        <v/>
      </c>
      <c r="B96" t="str">
        <f ca="1">IF(A96="","",COUNTIF(RawData[Telecaller Name],A96))</f>
        <v/>
      </c>
      <c r="C96" t="str">
        <f ca="1">IF(A96="","",MAX(0,B96-COUNTIFS(RawData[Telecaller Name],A96,RawData[Error Flag],"&gt;0")))</f>
        <v/>
      </c>
      <c r="D96" t="str">
        <f ca="1">IF(A96="","",SUMIFS(RawData[Error Flag],RawData[Telecaller Name],A96))</f>
        <v/>
      </c>
      <c r="E96" s="9" t="str">
        <f t="shared" ca="1" si="2"/>
        <v/>
      </c>
      <c r="F96" t="str">
        <f t="shared" ca="1" si="3"/>
        <v/>
      </c>
      <c r="G96" t="str" cm="1">
        <f t="array" aca="1" ref="G96" ca="1">IF(A96="","",SUMPRODUCT(--(RawData[Telecaller Name]=A96),--(ISNUMBER(SEARCH("Wrong Lead Status",RawData[Error Type]))+ISNUMBER(SEARCH("RNR Classification Error",RawData[Error Type]))+ISNUMBER(SEARCH("Follow-up Error",RawData[Error Type]))&gt;0)))</f>
        <v/>
      </c>
      <c r="H96" t="str" cm="1">
        <f t="array" aca="1" ref="H96" ca="1">IF(A96="","",SUMPRODUCT(--(RawData[Telecaller Name]=A96),--ISNUMBER(SEARCH("Warm Status Mismatch",RawData[Error Type])))+SUMPRODUCT(--(RawData[Telecaller Name]=A96),--ISNUMBER(SEARCH("CRM Status Mismatch",RawData[Error Type])))+SUMPRODUCT(--(RawData[Telecaller Name]=A96),--ISNUMBER(SEARCH("Customer Location Not Captured",RawData[Error Type]))))</f>
        <v/>
      </c>
    </row>
    <row r="97" spans="1:8" x14ac:dyDescent="0.25">
      <c r="A97" t="str" cm="1">
        <f t="array" aca="1" ref="A97" ca="1">IFERROR(_xlfn.LET(_xlpm.n,_xlfn.UNIQUE(_xlfn._xlws.FILTER(RawData[Telecaller Name],RawData[Telecaller Name]&lt;&gt;"")),_xlpm.a,1-COUNTIFS(RawData[Telecaller Name],_xlpm.n,RawData[Error Flag],1)/COUNTIF(RawData[Telecaller Name],_xlpm.n),INDEX(_xlfn.SORTBY(_xlpm.n,_xlpm.a,-1),ROWS(A$6:A97))),"")</f>
        <v/>
      </c>
      <c r="B97" t="str">
        <f ca="1">IF(A97="","",COUNTIF(RawData[Telecaller Name],A97))</f>
        <v/>
      </c>
      <c r="C97" t="str">
        <f ca="1">IF(A97="","",MAX(0,B97-COUNTIFS(RawData[Telecaller Name],A97,RawData[Error Flag],"&gt;0")))</f>
        <v/>
      </c>
      <c r="D97" t="str">
        <f ca="1">IF(A97="","",SUMIFS(RawData[Error Flag],RawData[Telecaller Name],A97))</f>
        <v/>
      </c>
      <c r="E97" s="9" t="str">
        <f t="shared" ca="1" si="2"/>
        <v/>
      </c>
      <c r="F97" t="str">
        <f t="shared" ca="1" si="3"/>
        <v/>
      </c>
      <c r="G97" t="str" cm="1">
        <f t="array" aca="1" ref="G97" ca="1">IF(A97="","",SUMPRODUCT(--(RawData[Telecaller Name]=A97),--(ISNUMBER(SEARCH("Wrong Lead Status",RawData[Error Type]))+ISNUMBER(SEARCH("RNR Classification Error",RawData[Error Type]))+ISNUMBER(SEARCH("Follow-up Error",RawData[Error Type]))&gt;0)))</f>
        <v/>
      </c>
      <c r="H97" t="str" cm="1">
        <f t="array" aca="1" ref="H97" ca="1">IF(A97="","",SUMPRODUCT(--(RawData[Telecaller Name]=A97),--ISNUMBER(SEARCH("Warm Status Mismatch",RawData[Error Type])))+SUMPRODUCT(--(RawData[Telecaller Name]=A97),--ISNUMBER(SEARCH("CRM Status Mismatch",RawData[Error Type])))+SUMPRODUCT(--(RawData[Telecaller Name]=A97),--ISNUMBER(SEARCH("Customer Location Not Captured",RawData[Error Type]))))</f>
        <v/>
      </c>
    </row>
    <row r="98" spans="1:8" x14ac:dyDescent="0.25">
      <c r="A98" t="str" cm="1">
        <f t="array" aca="1" ref="A98" ca="1">IFERROR(_xlfn.LET(_xlpm.n,_xlfn.UNIQUE(_xlfn._xlws.FILTER(RawData[Telecaller Name],RawData[Telecaller Name]&lt;&gt;"")),_xlpm.a,1-COUNTIFS(RawData[Telecaller Name],_xlpm.n,RawData[Error Flag],1)/COUNTIF(RawData[Telecaller Name],_xlpm.n),INDEX(_xlfn.SORTBY(_xlpm.n,_xlpm.a,-1),ROWS(A$6:A98))),"")</f>
        <v/>
      </c>
      <c r="B98" t="str">
        <f ca="1">IF(A98="","",COUNTIF(RawData[Telecaller Name],A98))</f>
        <v/>
      </c>
      <c r="C98" t="str">
        <f ca="1">IF(A98="","",MAX(0,B98-COUNTIFS(RawData[Telecaller Name],A98,RawData[Error Flag],"&gt;0")))</f>
        <v/>
      </c>
      <c r="D98" t="str">
        <f ca="1">IF(A98="","",SUMIFS(RawData[Error Flag],RawData[Telecaller Name],A98))</f>
        <v/>
      </c>
      <c r="E98" s="9" t="str">
        <f t="shared" ca="1" si="2"/>
        <v/>
      </c>
      <c r="F98" t="str">
        <f t="shared" ca="1" si="3"/>
        <v/>
      </c>
      <c r="G98" t="str" cm="1">
        <f t="array" aca="1" ref="G98" ca="1">IF(A98="","",SUMPRODUCT(--(RawData[Telecaller Name]=A98),--(ISNUMBER(SEARCH("Wrong Lead Status",RawData[Error Type]))+ISNUMBER(SEARCH("RNR Classification Error",RawData[Error Type]))+ISNUMBER(SEARCH("Follow-up Error",RawData[Error Type]))&gt;0)))</f>
        <v/>
      </c>
      <c r="H98" t="str" cm="1">
        <f t="array" aca="1" ref="H98" ca="1">IF(A98="","",SUMPRODUCT(--(RawData[Telecaller Name]=A98),--ISNUMBER(SEARCH("Warm Status Mismatch",RawData[Error Type])))+SUMPRODUCT(--(RawData[Telecaller Name]=A98),--ISNUMBER(SEARCH("CRM Status Mismatch",RawData[Error Type])))+SUMPRODUCT(--(RawData[Telecaller Name]=A98),--ISNUMBER(SEARCH("Customer Location Not Captured",RawData[Error Type]))))</f>
        <v/>
      </c>
    </row>
    <row r="99" spans="1:8" x14ac:dyDescent="0.25">
      <c r="A99" t="str" cm="1">
        <f t="array" aca="1" ref="A99" ca="1">IFERROR(_xlfn.LET(_xlpm.n,_xlfn.UNIQUE(_xlfn._xlws.FILTER(RawData[Telecaller Name],RawData[Telecaller Name]&lt;&gt;"")),_xlpm.a,1-COUNTIFS(RawData[Telecaller Name],_xlpm.n,RawData[Error Flag],1)/COUNTIF(RawData[Telecaller Name],_xlpm.n),INDEX(_xlfn.SORTBY(_xlpm.n,_xlpm.a,-1),ROWS(A$6:A99))),"")</f>
        <v/>
      </c>
      <c r="B99" t="str">
        <f ca="1">IF(A99="","",COUNTIF(RawData[Telecaller Name],A99))</f>
        <v/>
      </c>
      <c r="C99" t="str">
        <f ca="1">IF(A99="","",MAX(0,B99-COUNTIFS(RawData[Telecaller Name],A99,RawData[Error Flag],"&gt;0")))</f>
        <v/>
      </c>
      <c r="D99" t="str">
        <f ca="1">IF(A99="","",SUMIFS(RawData[Error Flag],RawData[Telecaller Name],A99))</f>
        <v/>
      </c>
      <c r="E99" s="9" t="str">
        <f t="shared" ca="1" si="2"/>
        <v/>
      </c>
      <c r="F99" t="str">
        <f t="shared" ca="1" si="3"/>
        <v/>
      </c>
      <c r="G99" t="str" cm="1">
        <f t="array" aca="1" ref="G99" ca="1">IF(A99="","",SUMPRODUCT(--(RawData[Telecaller Name]=A99),--(ISNUMBER(SEARCH("Wrong Lead Status",RawData[Error Type]))+ISNUMBER(SEARCH("RNR Classification Error",RawData[Error Type]))+ISNUMBER(SEARCH("Follow-up Error",RawData[Error Type]))&gt;0)))</f>
        <v/>
      </c>
      <c r="H99" t="str" cm="1">
        <f t="array" aca="1" ref="H99" ca="1">IF(A99="","",SUMPRODUCT(--(RawData[Telecaller Name]=A99),--ISNUMBER(SEARCH("Warm Status Mismatch",RawData[Error Type])))+SUMPRODUCT(--(RawData[Telecaller Name]=A99),--ISNUMBER(SEARCH("CRM Status Mismatch",RawData[Error Type])))+SUMPRODUCT(--(RawData[Telecaller Name]=A99),--ISNUMBER(SEARCH("Customer Location Not Captured",RawData[Error Type]))))</f>
        <v/>
      </c>
    </row>
    <row r="100" spans="1:8" x14ac:dyDescent="0.25">
      <c r="A100" t="str" cm="1">
        <f t="array" aca="1" ref="A100" ca="1">IFERROR(_xlfn.LET(_xlpm.n,_xlfn.UNIQUE(_xlfn._xlws.FILTER(RawData[Telecaller Name],RawData[Telecaller Name]&lt;&gt;"")),_xlpm.a,1-COUNTIFS(RawData[Telecaller Name],_xlpm.n,RawData[Error Flag],1)/COUNTIF(RawData[Telecaller Name],_xlpm.n),INDEX(_xlfn.SORTBY(_xlpm.n,_xlpm.a,-1),ROWS(A$6:A100))),"")</f>
        <v/>
      </c>
      <c r="B100" t="str">
        <f ca="1">IF(A100="","",COUNTIF(RawData[Telecaller Name],A100))</f>
        <v/>
      </c>
      <c r="C100" t="str">
        <f ca="1">IF(A100="","",MAX(0,B100-COUNTIFS(RawData[Telecaller Name],A100,RawData[Error Flag],"&gt;0")))</f>
        <v/>
      </c>
      <c r="D100" t="str">
        <f ca="1">IF(A100="","",SUMIFS(RawData[Error Flag],RawData[Telecaller Name],A100))</f>
        <v/>
      </c>
      <c r="E100" s="9" t="str">
        <f t="shared" ca="1" si="2"/>
        <v/>
      </c>
      <c r="F100" t="str">
        <f t="shared" ca="1" si="3"/>
        <v/>
      </c>
      <c r="G100" t="str" cm="1">
        <f t="array" aca="1" ref="G100" ca="1">IF(A100="","",SUMPRODUCT(--(RawData[Telecaller Name]=A100),--(ISNUMBER(SEARCH("Wrong Lead Status",RawData[Error Type]))+ISNUMBER(SEARCH("RNR Classification Error",RawData[Error Type]))+ISNUMBER(SEARCH("Follow-up Error",RawData[Error Type]))&gt;0)))</f>
        <v/>
      </c>
      <c r="H100" t="str" cm="1">
        <f t="array" aca="1" ref="H100" ca="1">IF(A100="","",SUMPRODUCT(--(RawData[Telecaller Name]=A100),--ISNUMBER(SEARCH("Warm Status Mismatch",RawData[Error Type])))+SUMPRODUCT(--(RawData[Telecaller Name]=A100),--ISNUMBER(SEARCH("CRM Status Mismatch",RawData[Error Type])))+SUMPRODUCT(--(RawData[Telecaller Name]=A100),--ISNUMBER(SEARCH("Customer Location Not Captured",RawData[Error Type]))))</f>
        <v/>
      </c>
    </row>
    <row r="101" spans="1:8" x14ac:dyDescent="0.25">
      <c r="A101" t="str" cm="1">
        <f t="array" aca="1" ref="A101" ca="1">IFERROR(_xlfn.LET(_xlpm.n,_xlfn.UNIQUE(_xlfn._xlws.FILTER(RawData[Telecaller Name],RawData[Telecaller Name]&lt;&gt;"")),_xlpm.a,1-COUNTIFS(RawData[Telecaller Name],_xlpm.n,RawData[Error Flag],1)/COUNTIF(RawData[Telecaller Name],_xlpm.n),INDEX(_xlfn.SORTBY(_xlpm.n,_xlpm.a,-1),ROWS(A$6:A101))),"")</f>
        <v/>
      </c>
      <c r="B101" t="str">
        <f ca="1">IF(A101="","",COUNTIF(RawData[Telecaller Name],A101))</f>
        <v/>
      </c>
      <c r="C101" t="str">
        <f ca="1">IF(A101="","",MAX(0,B101-COUNTIFS(RawData[Telecaller Name],A101,RawData[Error Flag],"&gt;0")))</f>
        <v/>
      </c>
      <c r="D101" t="str">
        <f ca="1">IF(A101="","",SUMIFS(RawData[Error Flag],RawData[Telecaller Name],A101))</f>
        <v/>
      </c>
      <c r="E101" s="9" t="str">
        <f t="shared" ca="1" si="2"/>
        <v/>
      </c>
      <c r="F101" t="str">
        <f t="shared" ca="1" si="3"/>
        <v/>
      </c>
      <c r="G101" t="str" cm="1">
        <f t="array" aca="1" ref="G101" ca="1">IF(A101="","",SUMPRODUCT(--(RawData[Telecaller Name]=A101),--(ISNUMBER(SEARCH("Wrong Lead Status",RawData[Error Type]))+ISNUMBER(SEARCH("RNR Classification Error",RawData[Error Type]))+ISNUMBER(SEARCH("Follow-up Error",RawData[Error Type]))&gt;0)))</f>
        <v/>
      </c>
      <c r="H101" t="str" cm="1">
        <f t="array" aca="1" ref="H101" ca="1">IF(A101="","",SUMPRODUCT(--(RawData[Telecaller Name]=A101),--ISNUMBER(SEARCH("Warm Status Mismatch",RawData[Error Type])))+SUMPRODUCT(--(RawData[Telecaller Name]=A101),--ISNUMBER(SEARCH("CRM Status Mismatch",RawData[Error Type])))+SUMPRODUCT(--(RawData[Telecaller Name]=A101),--ISNUMBER(SEARCH("Customer Location Not Captured",RawData[Error Type]))))</f>
        <v/>
      </c>
    </row>
    <row r="102" spans="1:8" x14ac:dyDescent="0.25">
      <c r="A102" t="str" cm="1">
        <f t="array" aca="1" ref="A102" ca="1">IFERROR(_xlfn.LET(_xlpm.n,_xlfn.UNIQUE(_xlfn._xlws.FILTER(RawData[Telecaller Name],RawData[Telecaller Name]&lt;&gt;"")),_xlpm.a,1-COUNTIFS(RawData[Telecaller Name],_xlpm.n,RawData[Error Flag],1)/COUNTIF(RawData[Telecaller Name],_xlpm.n),INDEX(_xlfn.SORTBY(_xlpm.n,_xlpm.a,-1),ROWS(A$6:A102))),"")</f>
        <v/>
      </c>
      <c r="B102" t="str">
        <f ca="1">IF(A102="","",COUNTIF(RawData[Telecaller Name],A102))</f>
        <v/>
      </c>
      <c r="C102" t="str">
        <f ca="1">IF(A102="","",MAX(0,B102-COUNTIFS(RawData[Telecaller Name],A102,RawData[Error Flag],"&gt;0")))</f>
        <v/>
      </c>
      <c r="D102" t="str">
        <f ca="1">IF(A102="","",SUMIFS(RawData[Error Flag],RawData[Telecaller Name],A102))</f>
        <v/>
      </c>
      <c r="E102" s="9" t="str">
        <f t="shared" ca="1" si="2"/>
        <v/>
      </c>
      <c r="F102" t="str">
        <f t="shared" ca="1" si="3"/>
        <v/>
      </c>
      <c r="G102" t="str" cm="1">
        <f t="array" aca="1" ref="G102" ca="1">IF(A102="","",SUMPRODUCT(--(RawData[Telecaller Name]=A102),--(ISNUMBER(SEARCH("Wrong Lead Status",RawData[Error Type]))+ISNUMBER(SEARCH("RNR Classification Error",RawData[Error Type]))+ISNUMBER(SEARCH("Follow-up Error",RawData[Error Type]))&gt;0)))</f>
        <v/>
      </c>
      <c r="H102" t="str" cm="1">
        <f t="array" aca="1" ref="H102" ca="1">IF(A102="","",SUMPRODUCT(--(RawData[Telecaller Name]=A102),--ISNUMBER(SEARCH("Warm Status Mismatch",RawData[Error Type])))+SUMPRODUCT(--(RawData[Telecaller Name]=A102),--ISNUMBER(SEARCH("CRM Status Mismatch",RawData[Error Type])))+SUMPRODUCT(--(RawData[Telecaller Name]=A102),--ISNUMBER(SEARCH("Customer Location Not Captured",RawData[Error Type]))))</f>
        <v/>
      </c>
    </row>
    <row r="103" spans="1:8" x14ac:dyDescent="0.25">
      <c r="A103" t="str" cm="1">
        <f t="array" aca="1" ref="A103" ca="1">IFERROR(_xlfn.LET(_xlpm.n,_xlfn.UNIQUE(_xlfn._xlws.FILTER(RawData[Telecaller Name],RawData[Telecaller Name]&lt;&gt;"")),_xlpm.a,1-COUNTIFS(RawData[Telecaller Name],_xlpm.n,RawData[Error Flag],1)/COUNTIF(RawData[Telecaller Name],_xlpm.n),INDEX(_xlfn.SORTBY(_xlpm.n,_xlpm.a,-1),ROWS(A$6:A103))),"")</f>
        <v/>
      </c>
      <c r="B103" t="str">
        <f ca="1">IF(A103="","",COUNTIF(RawData[Telecaller Name],A103))</f>
        <v/>
      </c>
      <c r="C103" t="str">
        <f ca="1">IF(A103="","",MAX(0,B103-COUNTIFS(RawData[Telecaller Name],A103,RawData[Error Flag],"&gt;0")))</f>
        <v/>
      </c>
      <c r="D103" t="str">
        <f ca="1">IF(A103="","",SUMIFS(RawData[Error Flag],RawData[Telecaller Name],A103))</f>
        <v/>
      </c>
      <c r="E103" s="9" t="str">
        <f t="shared" ca="1" si="2"/>
        <v/>
      </c>
      <c r="F103" t="str">
        <f t="shared" ca="1" si="3"/>
        <v/>
      </c>
      <c r="G103" t="str" cm="1">
        <f t="array" aca="1" ref="G103" ca="1">IF(A103="","",SUMPRODUCT(--(RawData[Telecaller Name]=A103),--(ISNUMBER(SEARCH("Wrong Lead Status",RawData[Error Type]))+ISNUMBER(SEARCH("RNR Classification Error",RawData[Error Type]))+ISNUMBER(SEARCH("Follow-up Error",RawData[Error Type]))&gt;0)))</f>
        <v/>
      </c>
      <c r="H103" t="str" cm="1">
        <f t="array" aca="1" ref="H103" ca="1">IF(A103="","",SUMPRODUCT(--(RawData[Telecaller Name]=A103),--ISNUMBER(SEARCH("Warm Status Mismatch",RawData[Error Type])))+SUMPRODUCT(--(RawData[Telecaller Name]=A103),--ISNUMBER(SEARCH("CRM Status Mismatch",RawData[Error Type])))+SUMPRODUCT(--(RawData[Telecaller Name]=A103),--ISNUMBER(SEARCH("Customer Location Not Captured",RawData[Error Type]))))</f>
        <v/>
      </c>
    </row>
    <row r="104" spans="1:8" x14ac:dyDescent="0.25">
      <c r="A104" t="str" cm="1">
        <f t="array" aca="1" ref="A104" ca="1">IFERROR(_xlfn.LET(_xlpm.n,_xlfn.UNIQUE(_xlfn._xlws.FILTER(RawData[Telecaller Name],RawData[Telecaller Name]&lt;&gt;"")),_xlpm.a,1-COUNTIFS(RawData[Telecaller Name],_xlpm.n,RawData[Error Flag],1)/COUNTIF(RawData[Telecaller Name],_xlpm.n),INDEX(_xlfn.SORTBY(_xlpm.n,_xlpm.a,-1),ROWS(A$6:A104))),"")</f>
        <v/>
      </c>
      <c r="B104" t="str">
        <f ca="1">IF(A104="","",COUNTIF(RawData[Telecaller Name],A104))</f>
        <v/>
      </c>
      <c r="C104" t="str">
        <f ca="1">IF(A104="","",MAX(0,B104-COUNTIFS(RawData[Telecaller Name],A104,RawData[Error Flag],"&gt;0")))</f>
        <v/>
      </c>
      <c r="D104" t="str">
        <f ca="1">IF(A104="","",SUMIFS(RawData[Error Flag],RawData[Telecaller Name],A104))</f>
        <v/>
      </c>
      <c r="E104" s="9" t="str">
        <f t="shared" ca="1" si="2"/>
        <v/>
      </c>
      <c r="F104" t="str">
        <f t="shared" ca="1" si="3"/>
        <v/>
      </c>
      <c r="G104" t="str" cm="1">
        <f t="array" aca="1" ref="G104" ca="1">IF(A104="","",SUMPRODUCT(--(RawData[Telecaller Name]=A104),--(ISNUMBER(SEARCH("Wrong Lead Status",RawData[Error Type]))+ISNUMBER(SEARCH("RNR Classification Error",RawData[Error Type]))+ISNUMBER(SEARCH("Follow-up Error",RawData[Error Type]))&gt;0)))</f>
        <v/>
      </c>
      <c r="H104" t="str" cm="1">
        <f t="array" aca="1" ref="H104" ca="1">IF(A104="","",SUMPRODUCT(--(RawData[Telecaller Name]=A104),--ISNUMBER(SEARCH("Warm Status Mismatch",RawData[Error Type])))+SUMPRODUCT(--(RawData[Telecaller Name]=A104),--ISNUMBER(SEARCH("CRM Status Mismatch",RawData[Error Type])))+SUMPRODUCT(--(RawData[Telecaller Name]=A104),--ISNUMBER(SEARCH("Customer Location Not Captured",RawData[Error Type]))))</f>
        <v/>
      </c>
    </row>
    <row r="105" spans="1:8" x14ac:dyDescent="0.25">
      <c r="A105" t="str" cm="1">
        <f t="array" aca="1" ref="A105" ca="1">IFERROR(_xlfn.LET(_xlpm.n,_xlfn.UNIQUE(_xlfn._xlws.FILTER(RawData[Telecaller Name],RawData[Telecaller Name]&lt;&gt;"")),_xlpm.a,1-COUNTIFS(RawData[Telecaller Name],_xlpm.n,RawData[Error Flag],1)/COUNTIF(RawData[Telecaller Name],_xlpm.n),INDEX(_xlfn.SORTBY(_xlpm.n,_xlpm.a,-1),ROWS(A$6:A105))),"")</f>
        <v/>
      </c>
      <c r="B105" t="str">
        <f ca="1">IF(A105="","",COUNTIF(RawData[Telecaller Name],A105))</f>
        <v/>
      </c>
      <c r="C105" t="str">
        <f ca="1">IF(A105="","",MAX(0,B105-COUNTIFS(RawData[Telecaller Name],A105,RawData[Error Flag],"&gt;0")))</f>
        <v/>
      </c>
      <c r="D105" t="str">
        <f ca="1">IF(A105="","",SUMIFS(RawData[Error Flag],RawData[Telecaller Name],A105))</f>
        <v/>
      </c>
      <c r="E105" s="9" t="str">
        <f t="shared" ca="1" si="2"/>
        <v/>
      </c>
      <c r="F105" t="str">
        <f t="shared" ca="1" si="3"/>
        <v/>
      </c>
      <c r="G105" t="str" cm="1">
        <f t="array" aca="1" ref="G105" ca="1">IF(A105="","",SUMPRODUCT(--(RawData[Telecaller Name]=A105),--(ISNUMBER(SEARCH("Wrong Lead Status",RawData[Error Type]))+ISNUMBER(SEARCH("RNR Classification Error",RawData[Error Type]))+ISNUMBER(SEARCH("Follow-up Error",RawData[Error Type]))&gt;0)))</f>
        <v/>
      </c>
      <c r="H105" t="str" cm="1">
        <f t="array" aca="1" ref="H105" ca="1">IF(A105="","",SUMPRODUCT(--(RawData[Telecaller Name]=A105),--ISNUMBER(SEARCH("Warm Status Mismatch",RawData[Error Type])))+SUMPRODUCT(--(RawData[Telecaller Name]=A105),--ISNUMBER(SEARCH("CRM Status Mismatch",RawData[Error Type])))+SUMPRODUCT(--(RawData[Telecaller Name]=A105),--ISNUMBER(SEARCH("Customer Location Not Captured",RawData[Error Type]))))</f>
        <v/>
      </c>
    </row>
  </sheetData>
  <mergeCells count="3">
    <mergeCell ref="A1:H1"/>
    <mergeCell ref="A2:H2"/>
    <mergeCell ref="A4:H4"/>
  </mergeCells>
  <conditionalFormatting sqref="E6:E105">
    <cfRule type="expression" dxfId="2" priority="1">
      <formula>AND($E6&gt;=0.95,$A6&lt;&gt;"")</formula>
    </cfRule>
    <cfRule type="expression" dxfId="1" priority="2">
      <formula>AND($E6&gt;=0.8,$E6&lt;0.95,$A6&lt;&gt;"")</formula>
    </cfRule>
    <cfRule type="expression" dxfId="0" priority="3">
      <formula>AND($E6&lt;0.8,$A6&lt;&gt;"")</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F453-E25B-468F-8795-93AF6B9FC14D}">
  <dimension ref="A4:Q66"/>
  <sheetViews>
    <sheetView workbookViewId="0">
      <selection activeCell="T17" sqref="T17"/>
    </sheetView>
  </sheetViews>
  <sheetFormatPr defaultRowHeight="15.75" x14ac:dyDescent="0.25"/>
  <sheetData>
    <row r="4" spans="1:17" x14ac:dyDescent="0.25">
      <c r="A4" s="11"/>
      <c r="B4" s="11"/>
      <c r="C4" s="11"/>
      <c r="D4" s="11"/>
      <c r="E4" s="11"/>
      <c r="F4" s="11"/>
      <c r="G4" s="11"/>
      <c r="H4" s="11"/>
      <c r="I4" s="11"/>
      <c r="J4" s="11"/>
      <c r="K4" s="11"/>
      <c r="L4" s="11"/>
      <c r="M4" s="11"/>
      <c r="N4" s="11"/>
      <c r="O4" s="11"/>
      <c r="P4" s="11"/>
      <c r="Q4" s="11"/>
    </row>
    <row r="5" spans="1:17" x14ac:dyDescent="0.25">
      <c r="A5" s="11"/>
      <c r="B5" s="11"/>
      <c r="C5" s="11"/>
      <c r="D5" s="11"/>
      <c r="E5" s="11"/>
      <c r="F5" s="11"/>
      <c r="G5" s="11"/>
      <c r="H5" s="11"/>
      <c r="I5" s="11"/>
      <c r="J5" s="11"/>
      <c r="K5" s="11"/>
      <c r="L5" s="11"/>
      <c r="M5" s="11"/>
      <c r="N5" s="11"/>
      <c r="O5" s="11"/>
      <c r="P5" s="11"/>
      <c r="Q5" s="11"/>
    </row>
    <row r="6" spans="1:17" x14ac:dyDescent="0.25">
      <c r="A6" s="11"/>
      <c r="B6" s="11"/>
      <c r="C6" s="11"/>
      <c r="D6" s="11"/>
      <c r="E6" s="11"/>
      <c r="F6" s="11"/>
      <c r="G6" s="11"/>
      <c r="H6" s="11"/>
      <c r="I6" s="11"/>
      <c r="J6" s="11"/>
      <c r="K6" s="11"/>
      <c r="L6" s="11"/>
      <c r="M6" s="11"/>
      <c r="N6" s="11"/>
      <c r="O6" s="11"/>
      <c r="P6" s="11"/>
      <c r="Q6" s="11"/>
    </row>
    <row r="7" spans="1:17" x14ac:dyDescent="0.25">
      <c r="A7" s="11"/>
      <c r="B7" s="11"/>
      <c r="C7" s="11"/>
      <c r="D7" s="11"/>
      <c r="E7" s="11"/>
      <c r="F7" s="11"/>
      <c r="G7" s="11"/>
      <c r="H7" s="11"/>
      <c r="I7" s="11"/>
      <c r="J7" s="11"/>
      <c r="K7" s="11"/>
      <c r="L7" s="11"/>
      <c r="M7" s="11"/>
      <c r="N7" s="11"/>
      <c r="O7" s="11"/>
      <c r="P7" s="11"/>
      <c r="Q7" s="11"/>
    </row>
    <row r="8" spans="1:17" x14ac:dyDescent="0.25">
      <c r="A8" s="11"/>
      <c r="B8" s="11"/>
      <c r="C8" s="11"/>
      <c r="D8" s="11"/>
      <c r="E8" s="11"/>
      <c r="F8" s="11"/>
      <c r="G8" s="11"/>
      <c r="H8" s="11"/>
      <c r="I8" s="11"/>
      <c r="J8" s="11"/>
      <c r="K8" s="11"/>
      <c r="L8" s="11"/>
      <c r="M8" s="11"/>
      <c r="N8" s="11"/>
      <c r="O8" s="11"/>
      <c r="P8" s="11"/>
      <c r="Q8" s="11"/>
    </row>
    <row r="9" spans="1:17" x14ac:dyDescent="0.25">
      <c r="A9" s="11"/>
      <c r="B9" s="11"/>
      <c r="C9" s="11"/>
      <c r="D9" s="11"/>
      <c r="E9" s="11"/>
      <c r="F9" s="11"/>
      <c r="G9" s="11"/>
      <c r="H9" s="11"/>
      <c r="I9" s="11"/>
      <c r="J9" s="11"/>
      <c r="K9" s="11"/>
      <c r="L9" s="11"/>
      <c r="M9" s="11"/>
      <c r="N9" s="11"/>
      <c r="O9" s="11"/>
      <c r="P9" s="11"/>
      <c r="Q9" s="11"/>
    </row>
    <row r="10" spans="1:17" x14ac:dyDescent="0.25">
      <c r="A10" s="11"/>
      <c r="B10" s="11"/>
      <c r="C10" s="11"/>
      <c r="D10" s="11"/>
      <c r="E10" s="11"/>
      <c r="F10" s="11"/>
      <c r="G10" s="11"/>
      <c r="H10" s="11"/>
      <c r="I10" s="11"/>
      <c r="J10" s="11"/>
      <c r="K10" s="11"/>
      <c r="L10" s="11"/>
      <c r="M10" s="11"/>
      <c r="N10" s="11"/>
      <c r="O10" s="11"/>
      <c r="P10" s="11"/>
      <c r="Q10" s="11"/>
    </row>
    <row r="11" spans="1:17" x14ac:dyDescent="0.25">
      <c r="A11" s="11"/>
      <c r="B11" s="11"/>
      <c r="C11" s="11"/>
      <c r="D11" s="11"/>
      <c r="E11" s="11"/>
      <c r="F11" s="11"/>
      <c r="G11" s="11"/>
      <c r="H11" s="11"/>
      <c r="I11" s="11"/>
      <c r="J11" s="11"/>
      <c r="K11" s="11"/>
      <c r="L11" s="11"/>
      <c r="M11" s="11"/>
      <c r="N11" s="11"/>
      <c r="O11" s="11"/>
      <c r="P11" s="11"/>
      <c r="Q11" s="11"/>
    </row>
    <row r="12" spans="1:17" x14ac:dyDescent="0.25">
      <c r="A12" s="13" t="s">
        <v>142</v>
      </c>
      <c r="B12" s="13"/>
      <c r="C12" s="13"/>
      <c r="D12" s="13"/>
      <c r="E12" s="13"/>
      <c r="F12" s="13"/>
      <c r="G12" s="13"/>
      <c r="H12" s="13"/>
      <c r="I12" s="13"/>
      <c r="J12" s="13"/>
      <c r="K12" s="13"/>
      <c r="L12" s="13"/>
      <c r="M12" s="13"/>
      <c r="N12" s="13"/>
      <c r="O12" s="13"/>
      <c r="P12" s="13"/>
      <c r="Q12" s="13"/>
    </row>
    <row r="40" spans="10:17" x14ac:dyDescent="0.25">
      <c r="J40" s="12" t="s">
        <v>141</v>
      </c>
      <c r="K40" s="12"/>
      <c r="L40" s="12"/>
      <c r="M40" s="12"/>
      <c r="N40" s="12"/>
      <c r="O40" s="12"/>
      <c r="P40" s="12"/>
      <c r="Q40" s="12"/>
    </row>
    <row r="41" spans="10:17" ht="15.75" customHeight="1" x14ac:dyDescent="0.25">
      <c r="J41" s="10" t="s">
        <v>146</v>
      </c>
      <c r="K41" s="10"/>
      <c r="L41" s="10"/>
      <c r="M41" s="10"/>
      <c r="N41" s="10"/>
      <c r="O41" s="10"/>
      <c r="P41" s="10"/>
      <c r="Q41" s="10"/>
    </row>
    <row r="42" spans="10:17" x14ac:dyDescent="0.25">
      <c r="J42" s="10"/>
      <c r="K42" s="10"/>
      <c r="L42" s="10"/>
      <c r="M42" s="10"/>
      <c r="N42" s="10"/>
      <c r="O42" s="10"/>
      <c r="P42" s="10"/>
      <c r="Q42" s="10"/>
    </row>
    <row r="43" spans="10:17" x14ac:dyDescent="0.25">
      <c r="J43" s="10"/>
      <c r="K43" s="10"/>
      <c r="L43" s="10"/>
      <c r="M43" s="10"/>
      <c r="N43" s="10"/>
      <c r="O43" s="10"/>
      <c r="P43" s="10"/>
      <c r="Q43" s="10"/>
    </row>
    <row r="44" spans="10:17" x14ac:dyDescent="0.25">
      <c r="J44" s="10"/>
      <c r="K44" s="10"/>
      <c r="L44" s="10"/>
      <c r="M44" s="10"/>
      <c r="N44" s="10"/>
      <c r="O44" s="10"/>
      <c r="P44" s="10"/>
      <c r="Q44" s="10"/>
    </row>
    <row r="45" spans="10:17" x14ac:dyDescent="0.25">
      <c r="J45" s="10"/>
      <c r="K45" s="10"/>
      <c r="L45" s="10"/>
      <c r="M45" s="10"/>
      <c r="N45" s="10"/>
      <c r="O45" s="10"/>
      <c r="P45" s="10"/>
      <c r="Q45" s="10"/>
    </row>
    <row r="46" spans="10:17" x14ac:dyDescent="0.25">
      <c r="J46" s="10"/>
      <c r="K46" s="10"/>
      <c r="L46" s="10"/>
      <c r="M46" s="10"/>
      <c r="N46" s="10"/>
      <c r="O46" s="10"/>
      <c r="P46" s="10"/>
      <c r="Q46" s="10"/>
    </row>
    <row r="47" spans="10:17" x14ac:dyDescent="0.25">
      <c r="J47" s="10"/>
      <c r="K47" s="10"/>
      <c r="L47" s="10"/>
      <c r="M47" s="10"/>
      <c r="N47" s="10"/>
      <c r="O47" s="10"/>
      <c r="P47" s="10"/>
      <c r="Q47" s="10"/>
    </row>
    <row r="48" spans="10:17" x14ac:dyDescent="0.25">
      <c r="J48" s="10"/>
      <c r="K48" s="10"/>
      <c r="L48" s="10"/>
      <c r="M48" s="10"/>
      <c r="N48" s="10"/>
      <c r="O48" s="10"/>
      <c r="P48" s="10"/>
      <c r="Q48" s="10"/>
    </row>
    <row r="49" spans="10:17" x14ac:dyDescent="0.25">
      <c r="J49" s="10"/>
      <c r="K49" s="10"/>
      <c r="L49" s="10"/>
      <c r="M49" s="10"/>
      <c r="N49" s="10"/>
      <c r="O49" s="10"/>
      <c r="P49" s="10"/>
      <c r="Q49" s="10"/>
    </row>
    <row r="50" spans="10:17" x14ac:dyDescent="0.25">
      <c r="J50" s="12" t="s">
        <v>141</v>
      </c>
      <c r="K50" s="12"/>
      <c r="L50" s="12"/>
      <c r="M50" s="12"/>
      <c r="N50" s="12"/>
      <c r="O50" s="12"/>
      <c r="P50" s="12"/>
      <c r="Q50" s="12"/>
    </row>
    <row r="51" spans="10:17" x14ac:dyDescent="0.25">
      <c r="J51" s="14" t="s">
        <v>143</v>
      </c>
      <c r="K51" s="14"/>
      <c r="L51" s="14"/>
      <c r="M51" s="14"/>
      <c r="N51" s="14"/>
      <c r="O51" s="14"/>
      <c r="P51" s="14"/>
      <c r="Q51" s="14"/>
    </row>
    <row r="52" spans="10:17" x14ac:dyDescent="0.25">
      <c r="J52" s="14"/>
      <c r="K52" s="14"/>
      <c r="L52" s="14"/>
      <c r="M52" s="14"/>
      <c r="N52" s="14"/>
      <c r="O52" s="14"/>
      <c r="P52" s="14"/>
      <c r="Q52" s="14"/>
    </row>
    <row r="53" spans="10:17" x14ac:dyDescent="0.25">
      <c r="J53" s="14"/>
      <c r="K53" s="14"/>
      <c r="L53" s="14"/>
      <c r="M53" s="14"/>
      <c r="N53" s="14"/>
      <c r="O53" s="14"/>
      <c r="P53" s="14"/>
      <c r="Q53" s="14"/>
    </row>
    <row r="54" spans="10:17" x14ac:dyDescent="0.25">
      <c r="J54" s="14"/>
      <c r="K54" s="14"/>
      <c r="L54" s="14"/>
      <c r="M54" s="14"/>
      <c r="N54" s="14"/>
      <c r="O54" s="14"/>
      <c r="P54" s="14"/>
      <c r="Q54" s="14"/>
    </row>
    <row r="55" spans="10:17" x14ac:dyDescent="0.25">
      <c r="J55" s="14"/>
      <c r="K55" s="14"/>
      <c r="L55" s="14"/>
      <c r="M55" s="14"/>
      <c r="N55" s="14"/>
      <c r="O55" s="14"/>
      <c r="P55" s="14"/>
      <c r="Q55" s="14"/>
    </row>
    <row r="56" spans="10:17" x14ac:dyDescent="0.25">
      <c r="J56" s="14"/>
      <c r="K56" s="14"/>
      <c r="L56" s="14"/>
      <c r="M56" s="14"/>
      <c r="N56" s="14"/>
      <c r="O56" s="14"/>
      <c r="P56" s="14"/>
      <c r="Q56" s="14"/>
    </row>
    <row r="57" spans="10:17" x14ac:dyDescent="0.25">
      <c r="J57" s="14"/>
      <c r="K57" s="14"/>
      <c r="L57" s="14"/>
      <c r="M57" s="14"/>
      <c r="N57" s="14"/>
      <c r="O57" s="14"/>
      <c r="P57" s="14"/>
      <c r="Q57" s="14"/>
    </row>
    <row r="58" spans="10:17" x14ac:dyDescent="0.25">
      <c r="J58" s="14"/>
      <c r="K58" s="14"/>
      <c r="L58" s="14"/>
      <c r="M58" s="14"/>
      <c r="N58" s="14"/>
      <c r="O58" s="14"/>
      <c r="P58" s="14"/>
      <c r="Q58" s="14"/>
    </row>
    <row r="59" spans="10:17" x14ac:dyDescent="0.25">
      <c r="J59" s="14"/>
      <c r="K59" s="14"/>
      <c r="L59" s="14"/>
      <c r="M59" s="14"/>
      <c r="N59" s="14"/>
      <c r="O59" s="14"/>
      <c r="P59" s="14"/>
      <c r="Q59" s="14"/>
    </row>
    <row r="60" spans="10:17" x14ac:dyDescent="0.25">
      <c r="J60" s="14"/>
      <c r="K60" s="14"/>
      <c r="L60" s="14"/>
      <c r="M60" s="14"/>
      <c r="N60" s="14"/>
      <c r="O60" s="14"/>
      <c r="P60" s="14"/>
      <c r="Q60" s="14"/>
    </row>
    <row r="61" spans="10:17" x14ac:dyDescent="0.25">
      <c r="J61" s="14"/>
      <c r="K61" s="14"/>
      <c r="L61" s="14"/>
      <c r="M61" s="14"/>
      <c r="N61" s="14"/>
      <c r="O61" s="14"/>
      <c r="P61" s="14"/>
      <c r="Q61" s="14"/>
    </row>
    <row r="62" spans="10:17" x14ac:dyDescent="0.25">
      <c r="J62" s="14"/>
      <c r="K62" s="14"/>
      <c r="L62" s="14"/>
      <c r="M62" s="14"/>
      <c r="N62" s="14"/>
      <c r="O62" s="14"/>
      <c r="P62" s="14"/>
      <c r="Q62" s="14"/>
    </row>
    <row r="63" spans="10:17" x14ac:dyDescent="0.25">
      <c r="J63" s="14"/>
      <c r="K63" s="14"/>
      <c r="L63" s="14"/>
      <c r="M63" s="14"/>
      <c r="N63" s="14"/>
      <c r="O63" s="14"/>
      <c r="P63" s="14"/>
      <c r="Q63" s="14"/>
    </row>
    <row r="64" spans="10:17" x14ac:dyDescent="0.25">
      <c r="J64" s="14"/>
      <c r="K64" s="14"/>
      <c r="L64" s="14"/>
      <c r="M64" s="14"/>
      <c r="N64" s="14"/>
      <c r="O64" s="14"/>
      <c r="P64" s="14"/>
      <c r="Q64" s="14"/>
    </row>
    <row r="65" spans="10:17" x14ac:dyDescent="0.25">
      <c r="J65" s="14"/>
      <c r="K65" s="14"/>
      <c r="L65" s="14"/>
      <c r="M65" s="14"/>
      <c r="N65" s="14"/>
      <c r="O65" s="14"/>
      <c r="P65" s="14"/>
      <c r="Q65" s="14"/>
    </row>
    <row r="66" spans="10:17" x14ac:dyDescent="0.25">
      <c r="J66" s="14"/>
      <c r="K66" s="14"/>
      <c r="L66" s="14"/>
      <c r="M66" s="14"/>
      <c r="N66" s="14"/>
      <c r="O66" s="14"/>
      <c r="P66" s="14"/>
      <c r="Q66" s="14"/>
    </row>
  </sheetData>
  <mergeCells count="4">
    <mergeCell ref="J40:Q40"/>
    <mergeCell ref="A12:Q12"/>
    <mergeCell ref="J50:Q50"/>
    <mergeCell ref="J51:Q66"/>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ED74-A492-4833-9E5E-2054FBE0D4F3}">
  <dimension ref="A1:L105"/>
  <sheetViews>
    <sheetView workbookViewId="0">
      <pane ySplit="5" topLeftCell="A7" activePane="bottomLeft" state="frozen"/>
      <selection pane="bottomLeft" activeCell="J8" sqref="J8"/>
    </sheetView>
  </sheetViews>
  <sheetFormatPr defaultRowHeight="15.75" x14ac:dyDescent="0.25"/>
  <cols>
    <col min="1" max="1" width="24.125" customWidth="1"/>
    <col min="2" max="2" width="15.875" customWidth="1"/>
    <col min="3" max="3" width="20" customWidth="1"/>
    <col min="4" max="6" width="16.625" customWidth="1"/>
    <col min="7" max="7" width="33.375" customWidth="1"/>
    <col min="8" max="8" width="20.875" customWidth="1"/>
    <col min="9" max="10" width="33.375" customWidth="1"/>
    <col min="11" max="12" width="15.875" customWidth="1"/>
  </cols>
  <sheetData>
    <row r="1" spans="1:12" ht="23.25" x14ac:dyDescent="0.35">
      <c r="A1" s="16" t="s">
        <v>105</v>
      </c>
      <c r="B1" s="16"/>
      <c r="C1" s="16"/>
      <c r="D1" s="16"/>
      <c r="E1" s="16"/>
      <c r="F1" s="16"/>
      <c r="G1" s="16"/>
      <c r="H1" s="16"/>
      <c r="I1" s="16"/>
      <c r="J1" s="16"/>
      <c r="K1" s="16"/>
      <c r="L1" s="16"/>
    </row>
    <row r="2" spans="1:12" x14ac:dyDescent="0.25">
      <c r="A2" s="17" t="s">
        <v>122</v>
      </c>
      <c r="B2" s="17"/>
      <c r="C2" s="17"/>
      <c r="D2" s="17"/>
      <c r="E2" s="17"/>
      <c r="F2" s="17"/>
      <c r="G2" s="17"/>
      <c r="H2" s="17"/>
      <c r="I2" s="17"/>
      <c r="J2" s="17"/>
      <c r="K2" s="17"/>
      <c r="L2" s="17"/>
    </row>
    <row r="4" spans="1:12" x14ac:dyDescent="0.25">
      <c r="A4" s="12" t="s">
        <v>123</v>
      </c>
      <c r="B4" s="12"/>
      <c r="C4" s="12"/>
      <c r="D4" s="12"/>
      <c r="E4" s="12"/>
      <c r="F4" s="12"/>
      <c r="G4" s="12"/>
      <c r="H4" s="12"/>
      <c r="I4" s="12"/>
      <c r="J4" s="12"/>
      <c r="K4" s="12"/>
      <c r="L4" s="12"/>
    </row>
    <row r="5" spans="1:12" x14ac:dyDescent="0.25">
      <c r="A5" s="7" t="s">
        <v>0</v>
      </c>
      <c r="B5" s="7" t="s">
        <v>124</v>
      </c>
      <c r="C5" s="7" t="s">
        <v>1</v>
      </c>
      <c r="D5" s="7" t="s">
        <v>2</v>
      </c>
      <c r="E5" s="7" t="s">
        <v>125</v>
      </c>
      <c r="F5" s="7" t="s">
        <v>126</v>
      </c>
      <c r="G5" s="7" t="s">
        <v>5</v>
      </c>
      <c r="H5" s="7" t="s">
        <v>88</v>
      </c>
      <c r="I5" s="7" t="s">
        <v>89</v>
      </c>
      <c r="J5" s="7" t="s">
        <v>90</v>
      </c>
      <c r="K5" s="7" t="s">
        <v>91</v>
      </c>
      <c r="L5" s="7" t="s">
        <v>92</v>
      </c>
    </row>
    <row r="6" spans="1:12" ht="31.5" x14ac:dyDescent="0.25">
      <c r="A6" t="str" cm="1">
        <f t="array" aca="1" ref="A6" ca="1">IFERROR(INDEX(_xlfn._xlws.FILTER(RawData[Project Name],RawData[Error Flag]&gt;0),ROWS(A$6:A6)),"")</f>
        <v>Guru Punvaanii EKA</v>
      </c>
      <c r="B6" s="1" cm="1">
        <f t="array" aca="1" ref="B6" ca="1">IFERROR(INDEX(_xlfn._xlws.FILTER(RawData[Mobile],RawData[Error Flag]&gt;0),ROWS(B$6:B6)),"")</f>
        <v>8861583888</v>
      </c>
      <c r="C6" t="str" cm="1">
        <f t="array" aca="1" ref="C6" ca="1">IFERROR(INDEX(_xlfn._xlws.FILTER(RawData[Telecaller Name],RawData[Error Flag]&gt;0),ROWS(C$6:C6)),"")</f>
        <v>Vinutha M1</v>
      </c>
      <c r="D6" s="2" cm="1">
        <f t="array" aca="1" ref="D6" ca="1">IFERROR(INDEX(_xlfn._xlws.FILTER(RawData[Lead Registration Date],RawData[Error Flag]&gt;0),ROWS(D$6:D6)),"")</f>
        <v>46253</v>
      </c>
      <c r="E6" t="str" cm="1">
        <f t="array" aca="1" ref="E6" ca="1">IFERROR(INDEX(_xlfn._xlws.FILTER(RawData[Lead Status],RawData[Error Flag]&gt;0),ROWS(E$6:E6)),"")</f>
        <v>warm</v>
      </c>
      <c r="F6" t="str" cm="1">
        <f t="array" aca="1" ref="F6" ca="1">IFERROR(INDEX(_xlfn._xlws.FILTER(RawData[Status],RawData[Error Flag]&gt;0),ROWS(F$6:F6)),"")</f>
        <v>Interested</v>
      </c>
      <c r="G6" s="6" t="str" cm="1">
        <f t="array" aca="1" ref="G6" ca="1">IFERROR(INDEX(_xlfn._xlws.FILTER(RawData[Comments],RawData[Error Flag]&gt;0),ROWS(G$6:G6)),"")</f>
        <v>Txted in whatsapp asked me to share details</v>
      </c>
      <c r="H6" s="6" t="str" cm="1">
        <f t="array" aca="1" ref="H6" ca="1">IFERROR(INDEX(_xlfn._xlws.FILTER(RawData[Error Type],RawData[Error Flag]&gt;0),ROWS(H$6:H6)),"")</f>
        <v>Customer Location Not Captured</v>
      </c>
      <c r="I6" s="6" t="str" cm="1">
        <f t="array" aca="1" ref="I6" ca="1">IFERROR(INDEX(_xlfn._xlws.FILTER(RawData[Error Details],RawData[Error Flag]&gt;0),ROWS(I$6:I6)),"")</f>
        <v>Anekal is the project default; customer location was not captured</v>
      </c>
      <c r="J6" s="6" t="str" cm="1">
        <f t="array" aca="1" ref="J6" ca="1">IFERROR(INDEX(_xlfn._xlws.FILTER(RawData[Recommended Action],RawData[Error Flag]&gt;0),ROWS(J$6:J6)),"")</f>
        <v>Contact the customer and record their actual location</v>
      </c>
      <c r="K6" t="str" cm="1">
        <f t="array" aca="1" ref="K6" ca="1">IFERROR(INDEX(_xlfn._xlws.FILTER(RawData[Severity],RawData[Error Flag]&gt;0),ROWS(K$6:K6)),"")</f>
        <v>Medium</v>
      </c>
      <c r="L6" t="str" cm="1">
        <f t="array" aca="1" ref="L6" ca="1">IFERROR(INDEX(_xlfn._xlws.FILTER(RawData[Audit Status],RawData[Error Flag]&gt;0),ROWS(L$6:L6)),"")</f>
        <v>Action Required (1 error)</v>
      </c>
    </row>
    <row r="7" spans="1:12" ht="47.25" x14ac:dyDescent="0.25">
      <c r="A7" t="str" cm="1">
        <f t="array" aca="1" ref="A7" ca="1">IFERROR(INDEX(_xlfn._xlws.FILTER(RawData[Project Name],RawData[Error Flag]&gt;0),ROWS(A$6:A7)),"")</f>
        <v>Guru Punvaanii Elegance</v>
      </c>
      <c r="B7" s="1" cm="1">
        <f t="array" aca="1" ref="B7" ca="1">IFERROR(INDEX(_xlfn._xlws.FILTER(RawData[Mobile],RawData[Error Flag]&gt;0),ROWS(B$6:B7)),"")</f>
        <v>9972515173</v>
      </c>
      <c r="C7" t="str" cm="1">
        <f t="array" aca="1" ref="C7" ca="1">IFERROR(INDEX(_xlfn._xlws.FILTER(RawData[Telecaller Name],RawData[Error Flag]&gt;0),ROWS(C$6:C7)),"")</f>
        <v>Amulya P</v>
      </c>
      <c r="D7" s="2" cm="1">
        <f t="array" aca="1" ref="D7" ca="1">IFERROR(INDEX(_xlfn._xlws.FILTER(RawData[Lead Registration Date],RawData[Error Flag]&gt;0),ROWS(D$6:D7)),"")</f>
        <v>46254</v>
      </c>
      <c r="E7" t="str" cm="1">
        <f t="array" aca="1" ref="E7" ca="1">IFERROR(INDEX(_xlfn._xlws.FILTER(RawData[Lead Status],RawData[Error Flag]&gt;0),ROWS(E$6:E7)),"")</f>
        <v>warm</v>
      </c>
      <c r="F7" t="str" cm="1">
        <f t="array" aca="1" ref="F7" ca="1">IFERROR(INDEX(_xlfn._xlws.FILTER(RawData[Status],RawData[Error Flag]&gt;0),ROWS(F$6:F7)),"")</f>
        <v>Interested</v>
      </c>
      <c r="G7" s="6" t="str" cm="1">
        <f t="array" aca="1" ref="G7" ca="1">IFERROR(INDEX(_xlfn._xlws.FILTER(RawData[Comments],RawData[Error Flag]&gt;0),ROWS(G$6:G7)),"")</f>
        <v>details shared in whastapp (from rajini num) due to network issue did collected any details</v>
      </c>
      <c r="H7" s="6" t="str" cm="1">
        <f t="array" aca="1" ref="H7" ca="1">IFERROR(INDEX(_xlfn._xlws.FILTER(RawData[Error Type],RawData[Error Flag]&gt;0),ROWS(H$6:H7)),"")</f>
        <v>Follow-up Error</v>
      </c>
      <c r="I7" s="6" t="str" cm="1">
        <f t="array" aca="1" ref="I7" ca="1">IFERROR(INDEX(_xlfn._xlws.FILTER(RawData[Error Details],RawData[Error Flag]&gt;0),ROWS(I$6:I7)),"")</f>
        <v>Follow-up date/time has passed for an active lead</v>
      </c>
      <c r="J7" s="6" t="str" cm="1">
        <f t="array" aca="1" ref="J7" ca="1">IFERROR(INDEX(_xlfn._xlws.FILTER(RawData[Recommended Action],RawData[Error Flag]&gt;0),ROWS(J$6:J7)),"")</f>
        <v>Contact immediately and set the next follow-up</v>
      </c>
      <c r="K7" t="str" cm="1">
        <f t="array" aca="1" ref="K7" ca="1">IFERROR(INDEX(_xlfn._xlws.FILTER(RawData[Severity],RawData[Error Flag]&gt;0),ROWS(K$6:K7)),"")</f>
        <v>Critical</v>
      </c>
      <c r="L7" t="str" cm="1">
        <f t="array" aca="1" ref="L7" ca="1">IFERROR(INDEX(_xlfn._xlws.FILTER(RawData[Audit Status],RawData[Error Flag]&gt;0),ROWS(L$6:L7)),"")</f>
        <v>Action Required (1 error)</v>
      </c>
    </row>
    <row r="8" spans="1:12" ht="31.5" x14ac:dyDescent="0.25">
      <c r="A8" t="str" cm="1">
        <f t="array" aca="1" ref="A8" ca="1">IFERROR(INDEX(_xlfn._xlws.FILTER(RawData[Project Name],RawData[Error Flag]&gt;0),ROWS(A$6:A8)),"")</f>
        <v>Guru Punvaanii Ernika</v>
      </c>
      <c r="B8" s="1" cm="1">
        <f t="array" aca="1" ref="B8" ca="1">IFERROR(INDEX(_xlfn._xlws.FILTER(RawData[Mobile],RawData[Error Flag]&gt;0),ROWS(B$6:B8)),"")</f>
        <v>6361095505</v>
      </c>
      <c r="C8" t="str" cm="1">
        <f t="array" aca="1" ref="C8" ca="1">IFERROR(INDEX(_xlfn._xlws.FILTER(RawData[Telecaller Name],RawData[Error Flag]&gt;0),ROWS(C$6:C8)),"")</f>
        <v>Vinutha M1</v>
      </c>
      <c r="D8" s="2" cm="1">
        <f t="array" aca="1" ref="D8" ca="1">IFERROR(INDEX(_xlfn._xlws.FILTER(RawData[Lead Registration Date],RawData[Error Flag]&gt;0),ROWS(D$6:D8)),"")</f>
        <v>46254</v>
      </c>
      <c r="E8" t="str" cm="1">
        <f t="array" aca="1" ref="E8" ca="1">IFERROR(INDEX(_xlfn._xlws.FILTER(RawData[Lead Status],RawData[Error Flag]&gt;0),ROWS(E$6:E8)),"")</f>
        <v>warm</v>
      </c>
      <c r="F8" t="str" cm="1">
        <f t="array" aca="1" ref="F8" ca="1">IFERROR(INDEX(_xlfn._xlws.FILTER(RawData[Status],RawData[Error Flag]&gt;0),ROWS(F$6:F8)),"")</f>
        <v>Interested</v>
      </c>
      <c r="G8" s="6" t="str" cm="1">
        <f t="array" aca="1" ref="G8" ca="1">IFERROR(INDEX(_xlfn._xlws.FILTER(RawData[Comments],RawData[Error Flag]&gt;0),ROWS(G$6:G8)),"")</f>
        <v>Rnr</v>
      </c>
      <c r="H8" s="6" t="str" cm="1">
        <f t="array" aca="1" ref="H8" ca="1">IFERROR(INDEX(_xlfn._xlws.FILTER(RawData[Error Type],RawData[Error Flag]&gt;0),ROWS(H$6:H8)),"")</f>
        <v>Customer Location Not Captured</v>
      </c>
      <c r="I8" s="6" t="str" cm="1">
        <f t="array" aca="1" ref="I8" ca="1">IFERROR(INDEX(_xlfn._xlws.FILTER(RawData[Error Details],RawData[Error Flag]&gt;0),ROWS(I$6:I8)),"")</f>
        <v>Anekal is the project default; customer location was not captured</v>
      </c>
      <c r="J8" s="6" t="str" cm="1">
        <f t="array" aca="1" ref="J8" ca="1">IFERROR(INDEX(_xlfn._xlws.FILTER(RawData[Recommended Action],RawData[Error Flag]&gt;0),ROWS(J$6:J8)),"")</f>
        <v>Contact the customer and record their actual location</v>
      </c>
      <c r="K8" t="str" cm="1">
        <f t="array" aca="1" ref="K8" ca="1">IFERROR(INDEX(_xlfn._xlws.FILTER(RawData[Severity],RawData[Error Flag]&gt;0),ROWS(K$6:K8)),"")</f>
        <v>Medium</v>
      </c>
      <c r="L8" t="str" cm="1">
        <f t="array" aca="1" ref="L8" ca="1">IFERROR(INDEX(_xlfn._xlws.FILTER(RawData[Audit Status],RawData[Error Flag]&gt;0),ROWS(L$6:L8)),"")</f>
        <v>Action Required (1 error)</v>
      </c>
    </row>
    <row r="9" spans="1:12" ht="31.5" x14ac:dyDescent="0.25">
      <c r="A9" t="str" cm="1">
        <f t="array" aca="1" ref="A9" ca="1">IFERROR(INDEX(_xlfn._xlws.FILTER(RawData[Project Name],RawData[Error Flag]&gt;0),ROWS(A$6:A9)),"")</f>
        <v>Guru Punvaanii Ernika</v>
      </c>
      <c r="B9" s="1" cm="1">
        <f t="array" aca="1" ref="B9" ca="1">IFERROR(INDEX(_xlfn._xlws.FILTER(RawData[Mobile],RawData[Error Flag]&gt;0),ROWS(B$6:B9)),"")</f>
        <v>7019359269</v>
      </c>
      <c r="C9" t="str" cm="1">
        <f t="array" aca="1" ref="C9" ca="1">IFERROR(INDEX(_xlfn._xlws.FILTER(RawData[Telecaller Name],RawData[Error Flag]&gt;0),ROWS(C$6:C9)),"")</f>
        <v>Vinutha M1</v>
      </c>
      <c r="D9" s="2" cm="1">
        <f t="array" aca="1" ref="D9" ca="1">IFERROR(INDEX(_xlfn._xlws.FILTER(RawData[Lead Registration Date],RawData[Error Flag]&gt;0),ROWS(D$6:D9)),"")</f>
        <v>46253</v>
      </c>
      <c r="E9" t="str" cm="1">
        <f t="array" aca="1" ref="E9" ca="1">IFERROR(INDEX(_xlfn._xlws.FILTER(RawData[Lead Status],RawData[Error Flag]&gt;0),ROWS(E$6:E9)),"")</f>
        <v>warm</v>
      </c>
      <c r="F9" t="str" cm="1">
        <f t="array" aca="1" ref="F9" ca="1">IFERROR(INDEX(_xlfn._xlws.FILTER(RawData[Status],RawData[Error Flag]&gt;0),ROWS(F$6:F9)),"")</f>
        <v>Interested</v>
      </c>
      <c r="G9" s="6" t="str" cm="1">
        <f t="array" aca="1" ref="G9" ca="1">IFERROR(INDEX(_xlfn._xlws.FILTER(RawData[Comments],RawData[Error Flag]&gt;0),ROWS(G$6:G9)),"")</f>
        <v>Rnr</v>
      </c>
      <c r="H9" s="6" t="str" cm="1">
        <f t="array" aca="1" ref="H9" ca="1">IFERROR(INDEX(_xlfn._xlws.FILTER(RawData[Error Type],RawData[Error Flag]&gt;0),ROWS(H$6:H9)),"")</f>
        <v>Customer Location Not Captured</v>
      </c>
      <c r="I9" s="6" t="str" cm="1">
        <f t="array" aca="1" ref="I9" ca="1">IFERROR(INDEX(_xlfn._xlws.FILTER(RawData[Error Details],RawData[Error Flag]&gt;0),ROWS(I$6:I9)),"")</f>
        <v>Anekal is the project default; customer location was not captured</v>
      </c>
      <c r="J9" s="6" t="str" cm="1">
        <f t="array" aca="1" ref="J9" ca="1">IFERROR(INDEX(_xlfn._xlws.FILTER(RawData[Recommended Action],RawData[Error Flag]&gt;0),ROWS(J$6:J9)),"")</f>
        <v>Contact the customer and record their actual location</v>
      </c>
      <c r="K9" t="str" cm="1">
        <f t="array" aca="1" ref="K9" ca="1">IFERROR(INDEX(_xlfn._xlws.FILTER(RawData[Severity],RawData[Error Flag]&gt;0),ROWS(K$6:K9)),"")</f>
        <v>Medium</v>
      </c>
      <c r="L9" t="str" cm="1">
        <f t="array" aca="1" ref="L9" ca="1">IFERROR(INDEX(_xlfn._xlws.FILTER(RawData[Audit Status],RawData[Error Flag]&gt;0),ROWS(L$6:L9)),"")</f>
        <v>Action Required (1 error)</v>
      </c>
    </row>
    <row r="10" spans="1:12" ht="31.5" x14ac:dyDescent="0.25">
      <c r="A10" t="str" cm="1">
        <f t="array" aca="1" ref="A10" ca="1">IFERROR(INDEX(_xlfn._xlws.FILTER(RawData[Project Name],RawData[Error Flag]&gt;0),ROWS(A$6:A10)),"")</f>
        <v>Guru Punvaanii Ernika</v>
      </c>
      <c r="B10" s="1" cm="1">
        <f t="array" aca="1" ref="B10" ca="1">IFERROR(INDEX(_xlfn._xlws.FILTER(RawData[Mobile],RawData[Error Flag]&gt;0),ROWS(B$6:B10)),"")</f>
        <v>7406119929</v>
      </c>
      <c r="C10" t="str" cm="1">
        <f t="array" aca="1" ref="C10" ca="1">IFERROR(INDEX(_xlfn._xlws.FILTER(RawData[Telecaller Name],RawData[Error Flag]&gt;0),ROWS(C$6:C10)),"")</f>
        <v>Vinutha M1</v>
      </c>
      <c r="D10" s="2" cm="1">
        <f t="array" aca="1" ref="D10" ca="1">IFERROR(INDEX(_xlfn._xlws.FILTER(RawData[Lead Registration Date],RawData[Error Flag]&gt;0),ROWS(D$6:D10)),"")</f>
        <v>46253</v>
      </c>
      <c r="E10" t="str" cm="1">
        <f t="array" aca="1" ref="E10" ca="1">IFERROR(INDEX(_xlfn._xlws.FILTER(RawData[Lead Status],RawData[Error Flag]&gt;0),ROWS(E$6:E10)),"")</f>
        <v>warm</v>
      </c>
      <c r="F10" t="str" cm="1">
        <f t="array" aca="1" ref="F10" ca="1">IFERROR(INDEX(_xlfn._xlws.FILTER(RawData[Status],RawData[Error Flag]&gt;0),ROWS(F$6:F10)),"")</f>
        <v>Interested</v>
      </c>
      <c r="G10" s="6" t="str" cm="1">
        <f t="array" aca="1" ref="G10" ca="1">IFERROR(INDEX(_xlfn._xlws.FILTER(RawData[Comments],RawData[Error Flag]&gt;0),ROWS(G$6:G10)),"")</f>
        <v>Said me to share details and price in whatsapp they will see and tell us</v>
      </c>
      <c r="H10" s="6" t="str" cm="1">
        <f t="array" aca="1" ref="H10" ca="1">IFERROR(INDEX(_xlfn._xlws.FILTER(RawData[Error Type],RawData[Error Flag]&gt;0),ROWS(H$6:H10)),"")</f>
        <v>Customer Location Not Captured</v>
      </c>
      <c r="I10" s="6" t="str" cm="1">
        <f t="array" aca="1" ref="I10" ca="1">IFERROR(INDEX(_xlfn._xlws.FILTER(RawData[Error Details],RawData[Error Flag]&gt;0),ROWS(I$6:I10)),"")</f>
        <v>Anekal is the project default; customer location was not captured</v>
      </c>
      <c r="J10" s="6" t="str" cm="1">
        <f t="array" aca="1" ref="J10" ca="1">IFERROR(INDEX(_xlfn._xlws.FILTER(RawData[Recommended Action],RawData[Error Flag]&gt;0),ROWS(J$6:J10)),"")</f>
        <v>Contact the customer and record their actual location</v>
      </c>
      <c r="K10" t="str" cm="1">
        <f t="array" aca="1" ref="K10" ca="1">IFERROR(INDEX(_xlfn._xlws.FILTER(RawData[Severity],RawData[Error Flag]&gt;0),ROWS(K$6:K10)),"")</f>
        <v>Medium</v>
      </c>
      <c r="L10" t="str" cm="1">
        <f t="array" aca="1" ref="L10" ca="1">IFERROR(INDEX(_xlfn._xlws.FILTER(RawData[Audit Status],RawData[Error Flag]&gt;0),ROWS(L$6:L10)),"")</f>
        <v>Action Required (1 error)</v>
      </c>
    </row>
    <row r="11" spans="1:12" ht="31.5" x14ac:dyDescent="0.25">
      <c r="A11" t="str" cm="1">
        <f t="array" aca="1" ref="A11" ca="1">IFERROR(INDEX(_xlfn._xlws.FILTER(RawData[Project Name],RawData[Error Flag]&gt;0),ROWS(A$6:A11)),"")</f>
        <v>Guru Punvaanii Ernika</v>
      </c>
      <c r="B11" s="1" cm="1">
        <f t="array" aca="1" ref="B11" ca="1">IFERROR(INDEX(_xlfn._xlws.FILTER(RawData[Mobile],RawData[Error Flag]&gt;0),ROWS(B$6:B11)),"")</f>
        <v>7795505658</v>
      </c>
      <c r="C11" t="str" cm="1">
        <f t="array" aca="1" ref="C11" ca="1">IFERROR(INDEX(_xlfn._xlws.FILTER(RawData[Telecaller Name],RawData[Error Flag]&gt;0),ROWS(C$6:C11)),"")</f>
        <v>Vinutha M1</v>
      </c>
      <c r="D11" s="2" cm="1">
        <f t="array" aca="1" ref="D11" ca="1">IFERROR(INDEX(_xlfn._xlws.FILTER(RawData[Lead Registration Date],RawData[Error Flag]&gt;0),ROWS(D$6:D11)),"")</f>
        <v>46253</v>
      </c>
      <c r="E11" t="str" cm="1">
        <f t="array" aca="1" ref="E11" ca="1">IFERROR(INDEX(_xlfn._xlws.FILTER(RawData[Lead Status],RawData[Error Flag]&gt;0),ROWS(E$6:E11)),"")</f>
        <v>warm</v>
      </c>
      <c r="F11" t="str" cm="1">
        <f t="array" aca="1" ref="F11" ca="1">IFERROR(INDEX(_xlfn._xlws.FILTER(RawData[Status],RawData[Error Flag]&gt;0),ROWS(F$6:F11)),"")</f>
        <v>Interested</v>
      </c>
      <c r="G11" s="6" t="str" cm="1">
        <f t="array" aca="1" ref="G11" ca="1">IFERROR(INDEX(_xlfn._xlws.FILTER(RawData[Comments],RawData[Error Flag]&gt;0),ROWS(G$6:G11)),"")</f>
        <v>Rnr</v>
      </c>
      <c r="H11" s="6" t="str" cm="1">
        <f t="array" aca="1" ref="H11" ca="1">IFERROR(INDEX(_xlfn._xlws.FILTER(RawData[Error Type],RawData[Error Flag]&gt;0),ROWS(H$6:H11)),"")</f>
        <v>Customer Location Not Captured</v>
      </c>
      <c r="I11" s="6" t="str" cm="1">
        <f t="array" aca="1" ref="I11" ca="1">IFERROR(INDEX(_xlfn._xlws.FILTER(RawData[Error Details],RawData[Error Flag]&gt;0),ROWS(I$6:I11)),"")</f>
        <v>Anekal is the project default; customer location was not captured</v>
      </c>
      <c r="J11" s="6" t="str" cm="1">
        <f t="array" aca="1" ref="J11" ca="1">IFERROR(INDEX(_xlfn._xlws.FILTER(RawData[Recommended Action],RawData[Error Flag]&gt;0),ROWS(J$6:J11)),"")</f>
        <v>Contact the customer and record their actual location</v>
      </c>
      <c r="K11" t="str" cm="1">
        <f t="array" aca="1" ref="K11" ca="1">IFERROR(INDEX(_xlfn._xlws.FILTER(RawData[Severity],RawData[Error Flag]&gt;0),ROWS(K$6:K11)),"")</f>
        <v>Medium</v>
      </c>
      <c r="L11" t="str" cm="1">
        <f t="array" aca="1" ref="L11" ca="1">IFERROR(INDEX(_xlfn._xlws.FILTER(RawData[Audit Status],RawData[Error Flag]&gt;0),ROWS(L$6:L11)),"")</f>
        <v>Action Required (1 error)</v>
      </c>
    </row>
    <row r="12" spans="1:12" ht="47.25" x14ac:dyDescent="0.25">
      <c r="A12" t="str" cm="1">
        <f t="array" aca="1" ref="A12" ca="1">IFERROR(INDEX(_xlfn._xlws.FILTER(RawData[Project Name],RawData[Error Flag]&gt;0),ROWS(A$6:A12)),"")</f>
        <v>Guru Punvaanii Ernika</v>
      </c>
      <c r="B12" s="1" cm="1">
        <f t="array" aca="1" ref="B12" ca="1">IFERROR(INDEX(_xlfn._xlws.FILTER(RawData[Mobile],RawData[Error Flag]&gt;0),ROWS(B$6:B12)),"")</f>
        <v>8073016841</v>
      </c>
      <c r="C12" t="str" cm="1">
        <f t="array" aca="1" ref="C12" ca="1">IFERROR(INDEX(_xlfn._xlws.FILTER(RawData[Telecaller Name],RawData[Error Flag]&gt;0),ROWS(C$6:C12)),"")</f>
        <v>Vinutha M1</v>
      </c>
      <c r="D12" s="2" cm="1">
        <f t="array" aca="1" ref="D12" ca="1">IFERROR(INDEX(_xlfn._xlws.FILTER(RawData[Lead Registration Date],RawData[Error Flag]&gt;0),ROWS(D$6:D12)),"")</f>
        <v>46253</v>
      </c>
      <c r="E12" t="str" cm="1">
        <f t="array" aca="1" ref="E12" ca="1">IFERROR(INDEX(_xlfn._xlws.FILTER(RawData[Lead Status],RawData[Error Flag]&gt;0),ROWS(E$6:E12)),"")</f>
        <v>Prospect</v>
      </c>
      <c r="F12" t="str" cm="1">
        <f t="array" aca="1" ref="F12" ca="1">IFERROR(INDEX(_xlfn._xlws.FILTER(RawData[Status],RawData[Error Flag]&gt;0),ROWS(F$6:F12)),"")</f>
        <v>Interested</v>
      </c>
      <c r="G12" s="6" t="str" cm="1">
        <f t="array" aca="1" ref="G12" ca="1">IFERROR(INDEX(_xlfn._xlws.FILTER(RawData[Comments],RawData[Error Flag]&gt;0),ROWS(G$6:G12)),"")</f>
        <v>He said he will call &amp; come for the visit.its raining there.- Aishwarya spoke</v>
      </c>
      <c r="H12" s="6" t="str" cm="1">
        <f t="array" aca="1" ref="H12" ca="1">IFERROR(INDEX(_xlfn._xlws.FILTER(RawData[Error Type],RawData[Error Flag]&gt;0),ROWS(H$6:H12)),"")</f>
        <v>Customer Location Not Captured</v>
      </c>
      <c r="I12" s="6" t="str" cm="1">
        <f t="array" aca="1" ref="I12" ca="1">IFERROR(INDEX(_xlfn._xlws.FILTER(RawData[Error Details],RawData[Error Flag]&gt;0),ROWS(I$6:I12)),"")</f>
        <v>Anekal is the project default; customer location was not captured</v>
      </c>
      <c r="J12" s="6" t="str" cm="1">
        <f t="array" aca="1" ref="J12" ca="1">IFERROR(INDEX(_xlfn._xlws.FILTER(RawData[Recommended Action],RawData[Error Flag]&gt;0),ROWS(J$6:J12)),"")</f>
        <v>Contact the customer and record their actual location</v>
      </c>
      <c r="K12" t="str" cm="1">
        <f t="array" aca="1" ref="K12" ca="1">IFERROR(INDEX(_xlfn._xlws.FILTER(RawData[Severity],RawData[Error Flag]&gt;0),ROWS(K$6:K12)),"")</f>
        <v>Medium</v>
      </c>
      <c r="L12" t="str" cm="1">
        <f t="array" aca="1" ref="L12" ca="1">IFERROR(INDEX(_xlfn._xlws.FILTER(RawData[Audit Status],RawData[Error Flag]&gt;0),ROWS(L$6:L12)),"")</f>
        <v>Action Required (1 error)</v>
      </c>
    </row>
    <row r="13" spans="1:12" ht="60" customHeight="1" x14ac:dyDescent="0.25">
      <c r="A13" t="str" cm="1">
        <f t="array" aca="1" ref="A13" ca="1">IFERROR(INDEX(_xlfn._xlws.FILTER(RawData[Project Name],RawData[Error Flag]&gt;0),ROWS(A$6:A13)),"")</f>
        <v>Guru Punvaanii Ernika</v>
      </c>
      <c r="B13" s="1" cm="1">
        <f t="array" aca="1" ref="B13" ca="1">IFERROR(INDEX(_xlfn._xlws.FILTER(RawData[Mobile],RawData[Error Flag]&gt;0),ROWS(B$6:B13)),"")</f>
        <v>8123042533</v>
      </c>
      <c r="C13" t="str" cm="1">
        <f t="array" aca="1" ref="C13" ca="1">IFERROR(INDEX(_xlfn._xlws.FILTER(RawData[Telecaller Name],RawData[Error Flag]&gt;0),ROWS(C$6:C13)),"")</f>
        <v>Vinutha M1</v>
      </c>
      <c r="D13" s="2" cm="1">
        <f t="array" aca="1" ref="D13" ca="1">IFERROR(INDEX(_xlfn._xlws.FILTER(RawData[Lead Registration Date],RawData[Error Flag]&gt;0),ROWS(D$6:D13)),"")</f>
        <v>46253</v>
      </c>
      <c r="E13" t="str" cm="1">
        <f t="array" aca="1" ref="E13" ca="1">IFERROR(INDEX(_xlfn._xlws.FILTER(RawData[Lead Status],RawData[Error Flag]&gt;0),ROWS(E$6:E13)),"")</f>
        <v>Cold</v>
      </c>
      <c r="F13" t="str" cm="1">
        <f t="array" aca="1" ref="F13" ca="1">IFERROR(INDEX(_xlfn._xlws.FILTER(RawData[Status],RawData[Error Flag]&gt;0),ROWS(F$6:F13)),"")</f>
        <v>Interested</v>
      </c>
      <c r="G13" s="6" t="str" cm="1">
        <f t="array" aca="1" ref="G13" ca="1">IFERROR(INDEX(_xlfn._xlws.FILTER(RawData[Comments],RawData[Error Flag]&gt;0),ROWS(G$6:G13)),"")</f>
        <v>Rnr</v>
      </c>
      <c r="H13" s="6" t="str" cm="1">
        <f t="array" aca="1" ref="H13" ca="1">IFERROR(INDEX(_xlfn._xlws.FILTER(RawData[Error Type],RawData[Error Flag]&gt;0),ROWS(H$6:H13)),"")</f>
        <v>RNR Classification Error | Customer Location Not Captured</v>
      </c>
      <c r="I13" s="6" t="str" cm="1">
        <f t="array" aca="1" ref="I13" ca="1">IFERROR(INDEX(_xlfn._xlws.FILTER(RawData[Error Details],RawData[Error Flag]&gt;0),ROWS(I$6:I13)),"")</f>
        <v>Contact outcome should remain RNR rather than Cold
Anekal is the project default; customer location was not captured</v>
      </c>
      <c r="J13" s="6" t="str" cm="1">
        <f t="array" aca="1" ref="J13" ca="1">IFERROR(INDEX(_xlfn._xlws.FILTER(RawData[Recommended Action],RawData[Error Flag]&gt;0),ROWS(J$6:J13)),"")</f>
        <v>Change lead classification to RNR and retry contact
Contact the customer and record their actual location</v>
      </c>
      <c r="K13" t="str" cm="1">
        <f t="array" aca="1" ref="K13" ca="1">IFERROR(INDEX(_xlfn._xlws.FILTER(RawData[Severity],RawData[Error Flag]&gt;0),ROWS(K$6:K13)),"")</f>
        <v>Critical</v>
      </c>
      <c r="L13" t="str" cm="1">
        <f t="array" aca="1" ref="L13" ca="1">IFERROR(INDEX(_xlfn._xlws.FILTER(RawData[Audit Status],RawData[Error Flag]&gt;0),ROWS(L$6:L13)),"")</f>
        <v>Action Required (2 errors)</v>
      </c>
    </row>
    <row r="14" spans="1:12" ht="31.5" x14ac:dyDescent="0.25">
      <c r="A14" t="str" cm="1">
        <f t="array" aca="1" ref="A14" ca="1">IFERROR(INDEX(_xlfn._xlws.FILTER(RawData[Project Name],RawData[Error Flag]&gt;0),ROWS(A$6:A14)),"")</f>
        <v>Guru Punvaanii Ernika</v>
      </c>
      <c r="B14" s="1" cm="1">
        <f t="array" aca="1" ref="B14" ca="1">IFERROR(INDEX(_xlfn._xlws.FILTER(RawData[Mobile],RawData[Error Flag]&gt;0),ROWS(B$6:B14)),"")</f>
        <v>8660592160</v>
      </c>
      <c r="C14" t="str" cm="1">
        <f t="array" aca="1" ref="C14" ca="1">IFERROR(INDEX(_xlfn._xlws.FILTER(RawData[Telecaller Name],RawData[Error Flag]&gt;0),ROWS(C$6:C14)),"")</f>
        <v>Vinutha M1</v>
      </c>
      <c r="D14" s="2" cm="1">
        <f t="array" aca="1" ref="D14" ca="1">IFERROR(INDEX(_xlfn._xlws.FILTER(RawData[Lead Registration Date],RawData[Error Flag]&gt;0),ROWS(D$6:D14)),"")</f>
        <v>46253</v>
      </c>
      <c r="E14" t="str" cm="1">
        <f t="array" aca="1" ref="E14" ca="1">IFERROR(INDEX(_xlfn._xlws.FILTER(RawData[Lead Status],RawData[Error Flag]&gt;0),ROWS(E$6:E14)),"")</f>
        <v>Prospect</v>
      </c>
      <c r="F14" t="str" cm="1">
        <f t="array" aca="1" ref="F14" ca="1">IFERROR(INDEX(_xlfn._xlws.FILTER(RawData[Status],RawData[Error Flag]&gt;0),ROWS(F$6:F14)),"")</f>
        <v>Interested</v>
      </c>
      <c r="G14" s="6" t="str" cm="1">
        <f t="array" aca="1" ref="G14" ca="1">IFERROR(INDEX(_xlfn._xlws.FILTER(RawData[Comments],RawData[Error Flag]&gt;0),ROWS(G$6:G14)),"")</f>
        <v>Visited</v>
      </c>
      <c r="H14" s="6" t="str" cm="1">
        <f t="array" aca="1" ref="H14" ca="1">IFERROR(INDEX(_xlfn._xlws.FILTER(RawData[Error Type],RawData[Error Flag]&gt;0),ROWS(H$6:H14)),"")</f>
        <v>Customer Location Not Captured</v>
      </c>
      <c r="I14" s="6" t="str" cm="1">
        <f t="array" aca="1" ref="I14" ca="1">IFERROR(INDEX(_xlfn._xlws.FILTER(RawData[Error Details],RawData[Error Flag]&gt;0),ROWS(I$6:I14)),"")</f>
        <v>Anekal is the project default; customer location was not captured</v>
      </c>
      <c r="J14" s="6" t="str" cm="1">
        <f t="array" aca="1" ref="J14" ca="1">IFERROR(INDEX(_xlfn._xlws.FILTER(RawData[Recommended Action],RawData[Error Flag]&gt;0),ROWS(J$6:J14)),"")</f>
        <v>Contact the customer and record their actual location</v>
      </c>
      <c r="K14" t="str" cm="1">
        <f t="array" aca="1" ref="K14" ca="1">IFERROR(INDEX(_xlfn._xlws.FILTER(RawData[Severity],RawData[Error Flag]&gt;0),ROWS(K$6:K14)),"")</f>
        <v>Medium</v>
      </c>
      <c r="L14" t="str" cm="1">
        <f t="array" aca="1" ref="L14" ca="1">IFERROR(INDEX(_xlfn._xlws.FILTER(RawData[Audit Status],RawData[Error Flag]&gt;0),ROWS(L$6:L14)),"")</f>
        <v>Action Required (1 error)</v>
      </c>
    </row>
    <row r="15" spans="1:12" ht="63" x14ac:dyDescent="0.25">
      <c r="A15" t="str" cm="1">
        <f t="array" aca="1" ref="A15" ca="1">IFERROR(INDEX(_xlfn._xlws.FILTER(RawData[Project Name],RawData[Error Flag]&gt;0),ROWS(A$6:A15)),"")</f>
        <v>Guru Punvaanii Ernika</v>
      </c>
      <c r="B15" s="1" cm="1">
        <f t="array" aca="1" ref="B15" ca="1">IFERROR(INDEX(_xlfn._xlws.FILTER(RawData[Mobile],RawData[Error Flag]&gt;0),ROWS(B$6:B15)),"")</f>
        <v>8870745937</v>
      </c>
      <c r="C15" t="str" cm="1">
        <f t="array" aca="1" ref="C15" ca="1">IFERROR(INDEX(_xlfn._xlws.FILTER(RawData[Telecaller Name],RawData[Error Flag]&gt;0),ROWS(C$6:C15)),"")</f>
        <v>Vinutha M1</v>
      </c>
      <c r="D15" s="2" cm="1">
        <f t="array" aca="1" ref="D15" ca="1">IFERROR(INDEX(_xlfn._xlws.FILTER(RawData[Lead Registration Date],RawData[Error Flag]&gt;0),ROWS(D$6:D15)),"")</f>
        <v>46254</v>
      </c>
      <c r="E15" t="str" cm="1">
        <f t="array" aca="1" ref="E15" ca="1">IFERROR(INDEX(_xlfn._xlws.FILTER(RawData[Lead Status],RawData[Error Flag]&gt;0),ROWS(E$6:E15)),"")</f>
        <v>warm</v>
      </c>
      <c r="F15" t="str" cm="1">
        <f t="array" aca="1" ref="F15" ca="1">IFERROR(INDEX(_xlfn._xlws.FILTER(RawData[Status],RawData[Error Flag]&gt;0),ROWS(F$6:F15)),"")</f>
        <v>Interested</v>
      </c>
      <c r="G15" s="6" t="str" cm="1">
        <f t="array" aca="1" ref="G15" ca="1">IFERROR(INDEX(_xlfn._xlws.FILTER(RawData[Comments],RawData[Error Flag]&gt;0),ROWS(G$6:G15)),"")</f>
        <v>Seeing for 1200sqft , located at electronic city , seeing for self asked me to share details they will check and get back</v>
      </c>
      <c r="H15" s="6" t="str" cm="1">
        <f t="array" aca="1" ref="H15" ca="1">IFERROR(INDEX(_xlfn._xlws.FILTER(RawData[Error Type],RawData[Error Flag]&gt;0),ROWS(H$6:H15)),"")</f>
        <v>Customer Location Not Captured</v>
      </c>
      <c r="I15" s="6" t="str" cm="1">
        <f t="array" aca="1" ref="I15" ca="1">IFERROR(INDEX(_xlfn._xlws.FILTER(RawData[Error Details],RawData[Error Flag]&gt;0),ROWS(I$6:I15)),"")</f>
        <v>Anekal is the project default; customer location was not captured</v>
      </c>
      <c r="J15" s="6" t="str" cm="1">
        <f t="array" aca="1" ref="J15" ca="1">IFERROR(INDEX(_xlfn._xlws.FILTER(RawData[Recommended Action],RawData[Error Flag]&gt;0),ROWS(J$6:J15)),"")</f>
        <v>Contact the customer and record their actual location</v>
      </c>
      <c r="K15" t="str" cm="1">
        <f t="array" aca="1" ref="K15" ca="1">IFERROR(INDEX(_xlfn._xlws.FILTER(RawData[Severity],RawData[Error Flag]&gt;0),ROWS(K$6:K15)),"")</f>
        <v>Medium</v>
      </c>
      <c r="L15" t="str" cm="1">
        <f t="array" aca="1" ref="L15" ca="1">IFERROR(INDEX(_xlfn._xlws.FILTER(RawData[Audit Status],RawData[Error Flag]&gt;0),ROWS(L$6:L15)),"")</f>
        <v>Action Required (1 error)</v>
      </c>
    </row>
    <row r="16" spans="1:12" ht="31.5" x14ac:dyDescent="0.25">
      <c r="A16" t="str" cm="1">
        <f t="array" aca="1" ref="A16" ca="1">IFERROR(INDEX(_xlfn._xlws.FILTER(RawData[Project Name],RawData[Error Flag]&gt;0),ROWS(A$6:A16)),"")</f>
        <v>Guru Punvaanii Ernika</v>
      </c>
      <c r="B16" s="1" cm="1">
        <f t="array" aca="1" ref="B16" ca="1">IFERROR(INDEX(_xlfn._xlws.FILTER(RawData[Mobile],RawData[Error Flag]&gt;0),ROWS(B$6:B16)),"")</f>
        <v>9380015711</v>
      </c>
      <c r="C16" t="str" cm="1">
        <f t="array" aca="1" ref="C16" ca="1">IFERROR(INDEX(_xlfn._xlws.FILTER(RawData[Telecaller Name],RawData[Error Flag]&gt;0),ROWS(C$6:C16)),"")</f>
        <v>Vinutha M1</v>
      </c>
      <c r="D16" s="2" cm="1">
        <f t="array" aca="1" ref="D16" ca="1">IFERROR(INDEX(_xlfn._xlws.FILTER(RawData[Lead Registration Date],RawData[Error Flag]&gt;0),ROWS(D$6:D16)),"")</f>
        <v>46253</v>
      </c>
      <c r="E16" t="str" cm="1">
        <f t="array" aca="1" ref="E16" ca="1">IFERROR(INDEX(_xlfn._xlws.FILTER(RawData[Lead Status],RawData[Error Flag]&gt;0),ROWS(E$6:E16)),"")</f>
        <v>warm</v>
      </c>
      <c r="F16" t="str" cm="1">
        <f t="array" aca="1" ref="F16" ca="1">IFERROR(INDEX(_xlfn._xlws.FILTER(RawData[Status],RawData[Error Flag]&gt;0),ROWS(F$6:F16)),"")</f>
        <v>Interested</v>
      </c>
      <c r="G16" s="6" t="str" cm="1">
        <f t="array" aca="1" ref="G16" ca="1">IFERROR(INDEX(_xlfn._xlws.FILTER(RawData[Comments],RawData[Error Flag]&gt;0),ROWS(G$6:G16)),"")</f>
        <v>Txted in whatsapp , seeing for 30*40 plot bmrda approved , shared details</v>
      </c>
      <c r="H16" s="6" t="str" cm="1">
        <f t="array" aca="1" ref="H16" ca="1">IFERROR(INDEX(_xlfn._xlws.FILTER(RawData[Error Type],RawData[Error Flag]&gt;0),ROWS(H$6:H16)),"")</f>
        <v>Customer Location Not Captured</v>
      </c>
      <c r="I16" s="6" t="str" cm="1">
        <f t="array" aca="1" ref="I16" ca="1">IFERROR(INDEX(_xlfn._xlws.FILTER(RawData[Error Details],RawData[Error Flag]&gt;0),ROWS(I$6:I16)),"")</f>
        <v>Anekal is the project default; customer location was not captured</v>
      </c>
      <c r="J16" s="6" t="str" cm="1">
        <f t="array" aca="1" ref="J16" ca="1">IFERROR(INDEX(_xlfn._xlws.FILTER(RawData[Recommended Action],RawData[Error Flag]&gt;0),ROWS(J$6:J16)),"")</f>
        <v>Contact the customer and record their actual location</v>
      </c>
      <c r="K16" t="str" cm="1">
        <f t="array" aca="1" ref="K16" ca="1">IFERROR(INDEX(_xlfn._xlws.FILTER(RawData[Severity],RawData[Error Flag]&gt;0),ROWS(K$6:K16)),"")</f>
        <v>Medium</v>
      </c>
      <c r="L16" t="str" cm="1">
        <f t="array" aca="1" ref="L16" ca="1">IFERROR(INDEX(_xlfn._xlws.FILTER(RawData[Audit Status],RawData[Error Flag]&gt;0),ROWS(L$6:L16)),"")</f>
        <v>Action Required (1 error)</v>
      </c>
    </row>
    <row r="17" spans="1:12" ht="31.5" x14ac:dyDescent="0.25">
      <c r="A17" t="str" cm="1">
        <f t="array" aca="1" ref="A17" ca="1">IFERROR(INDEX(_xlfn._xlws.FILTER(RawData[Project Name],RawData[Error Flag]&gt;0),ROWS(A$6:A17)),"")</f>
        <v>Guru Punvaanii Ernika</v>
      </c>
      <c r="B17" s="1" cm="1">
        <f t="array" aca="1" ref="B17" ca="1">IFERROR(INDEX(_xlfn._xlws.FILTER(RawData[Mobile],RawData[Error Flag]&gt;0),ROWS(B$6:B17)),"")</f>
        <v>9425152540</v>
      </c>
      <c r="C17" t="str" cm="1">
        <f t="array" aca="1" ref="C17" ca="1">IFERROR(INDEX(_xlfn._xlws.FILTER(RawData[Telecaller Name],RawData[Error Flag]&gt;0),ROWS(C$6:C17)),"")</f>
        <v>Vinutha M1</v>
      </c>
      <c r="D17" s="2" cm="1">
        <f t="array" aca="1" ref="D17" ca="1">IFERROR(INDEX(_xlfn._xlws.FILTER(RawData[Lead Registration Date],RawData[Error Flag]&gt;0),ROWS(D$6:D17)),"")</f>
        <v>46253</v>
      </c>
      <c r="E17" t="str" cm="1">
        <f t="array" aca="1" ref="E17" ca="1">IFERROR(INDEX(_xlfn._xlws.FILTER(RawData[Lead Status],RawData[Error Flag]&gt;0),ROWS(E$6:E17)),"")</f>
        <v>Cold</v>
      </c>
      <c r="F17" t="str" cm="1">
        <f t="array" aca="1" ref="F17" ca="1">IFERROR(INDEX(_xlfn._xlws.FILTER(RawData[Status],RawData[Error Flag]&gt;0),ROWS(F$6:F17)),"")</f>
        <v>Interested</v>
      </c>
      <c r="G17" s="6" t="str" cm="1">
        <f t="array" aca="1" ref="G17" ca="1">IFERROR(INDEX(_xlfn._xlws.FILTER(RawData[Comments],RawData[Error Flag]&gt;0),ROWS(G$6:G17)),"")</f>
        <v>Rnr</v>
      </c>
      <c r="H17" s="6" t="str" cm="1">
        <f t="array" aca="1" ref="H17" ca="1">IFERROR(INDEX(_xlfn._xlws.FILTER(RawData[Error Type],RawData[Error Flag]&gt;0),ROWS(H$6:H17)),"")</f>
        <v>RNR Classification Error</v>
      </c>
      <c r="I17" s="6" t="str" cm="1">
        <f t="array" aca="1" ref="I17" ca="1">IFERROR(INDEX(_xlfn._xlws.FILTER(RawData[Error Details],RawData[Error Flag]&gt;0),ROWS(I$6:I17)),"")</f>
        <v>Contact outcome should remain RNR rather than Cold</v>
      </c>
      <c r="J17" s="6" t="str" cm="1">
        <f t="array" aca="1" ref="J17" ca="1">IFERROR(INDEX(_xlfn._xlws.FILTER(RawData[Recommended Action],RawData[Error Flag]&gt;0),ROWS(J$6:J17)),"")</f>
        <v>Change lead classification to RNR and retry contact</v>
      </c>
      <c r="K17" t="str" cm="1">
        <f t="array" aca="1" ref="K17" ca="1">IFERROR(INDEX(_xlfn._xlws.FILTER(RawData[Severity],RawData[Error Flag]&gt;0),ROWS(K$6:K17)),"")</f>
        <v>Critical</v>
      </c>
      <c r="L17" t="str" cm="1">
        <f t="array" aca="1" ref="L17" ca="1">IFERROR(INDEX(_xlfn._xlws.FILTER(RawData[Audit Status],RawData[Error Flag]&gt;0),ROWS(L$6:L17)),"")</f>
        <v>Action Required (1 error)</v>
      </c>
    </row>
    <row r="18" spans="1:12" ht="31.5" x14ac:dyDescent="0.25">
      <c r="A18" t="str" cm="1">
        <f t="array" aca="1" ref="A18" ca="1">IFERROR(INDEX(_xlfn._xlws.FILTER(RawData[Project Name],RawData[Error Flag]&gt;0),ROWS(A$6:A18)),"")</f>
        <v>Guru Punvaanii Ernika</v>
      </c>
      <c r="B18" s="1" cm="1">
        <f t="array" aca="1" ref="B18" ca="1">IFERROR(INDEX(_xlfn._xlws.FILTER(RawData[Mobile],RawData[Error Flag]&gt;0),ROWS(B$6:B18)),"")</f>
        <v>9482097564</v>
      </c>
      <c r="C18" t="str" cm="1">
        <f t="array" aca="1" ref="C18" ca="1">IFERROR(INDEX(_xlfn._xlws.FILTER(RawData[Telecaller Name],RawData[Error Flag]&gt;0),ROWS(C$6:C18)),"")</f>
        <v>Vinutha M1</v>
      </c>
      <c r="D18" s="2" cm="1">
        <f t="array" aca="1" ref="D18" ca="1">IFERROR(INDEX(_xlfn._xlws.FILTER(RawData[Lead Registration Date],RawData[Error Flag]&gt;0),ROWS(D$6:D18)),"")</f>
        <v>46253</v>
      </c>
      <c r="E18" t="str" cm="1">
        <f t="array" aca="1" ref="E18" ca="1">IFERROR(INDEX(_xlfn._xlws.FILTER(RawData[Lead Status],RawData[Error Flag]&gt;0),ROWS(E$6:E18)),"")</f>
        <v>warm</v>
      </c>
      <c r="F18" t="str" cm="1">
        <f t="array" aca="1" ref="F18" ca="1">IFERROR(INDEX(_xlfn._xlws.FILTER(RawData[Status],RawData[Error Flag]&gt;0),ROWS(F$6:F18)),"")</f>
        <v>Interested</v>
      </c>
      <c r="G18" s="6" t="str" cm="1">
        <f t="array" aca="1" ref="G18" ca="1">IFERROR(INDEX(_xlfn._xlws.FILTER(RawData[Comments],RawData[Error Flag]&gt;0),ROWS(G$6:G18)),"")</f>
        <v>Rnr-shared details</v>
      </c>
      <c r="H18" s="6" t="str" cm="1">
        <f t="array" aca="1" ref="H18" ca="1">IFERROR(INDEX(_xlfn._xlws.FILTER(RawData[Error Type],RawData[Error Flag]&gt;0),ROWS(H$6:H18)),"")</f>
        <v>Customer Location Not Captured</v>
      </c>
      <c r="I18" s="6" t="str" cm="1">
        <f t="array" aca="1" ref="I18" ca="1">IFERROR(INDEX(_xlfn._xlws.FILTER(RawData[Error Details],RawData[Error Flag]&gt;0),ROWS(I$6:I18)),"")</f>
        <v>Anekal is the project default; customer location was not captured</v>
      </c>
      <c r="J18" s="6" t="str" cm="1">
        <f t="array" aca="1" ref="J18" ca="1">IFERROR(INDEX(_xlfn._xlws.FILTER(RawData[Recommended Action],RawData[Error Flag]&gt;0),ROWS(J$6:J18)),"")</f>
        <v>Contact the customer and record their actual location</v>
      </c>
      <c r="K18" t="str" cm="1">
        <f t="array" aca="1" ref="K18" ca="1">IFERROR(INDEX(_xlfn._xlws.FILTER(RawData[Severity],RawData[Error Flag]&gt;0),ROWS(K$6:K18)),"")</f>
        <v>Medium</v>
      </c>
      <c r="L18" t="str" cm="1">
        <f t="array" aca="1" ref="L18" ca="1">IFERROR(INDEX(_xlfn._xlws.FILTER(RawData[Audit Status],RawData[Error Flag]&gt;0),ROWS(L$6:L18)),"")</f>
        <v>Action Required (1 error)</v>
      </c>
    </row>
    <row r="19" spans="1:12" ht="60" customHeight="1" x14ac:dyDescent="0.25">
      <c r="A19" t="str" cm="1">
        <f t="array" aca="1" ref="A19" ca="1">IFERROR(INDEX(_xlfn._xlws.FILTER(RawData[Project Name],RawData[Error Flag]&gt;0),ROWS(A$6:A19)),"")</f>
        <v>Guru Punvaanii Ernika</v>
      </c>
      <c r="B19" s="1" cm="1">
        <f t="array" aca="1" ref="B19" ca="1">IFERROR(INDEX(_xlfn._xlws.FILTER(RawData[Mobile],RawData[Error Flag]&gt;0),ROWS(B$6:B19)),"")</f>
        <v>9482915868</v>
      </c>
      <c r="C19" t="str" cm="1">
        <f t="array" aca="1" ref="C19" ca="1">IFERROR(INDEX(_xlfn._xlws.FILTER(RawData[Telecaller Name],RawData[Error Flag]&gt;0),ROWS(C$6:C19)),"")</f>
        <v>Vinutha M1</v>
      </c>
      <c r="D19" s="2" cm="1">
        <f t="array" aca="1" ref="D19" ca="1">IFERROR(INDEX(_xlfn._xlws.FILTER(RawData[Lead Registration Date],RawData[Error Flag]&gt;0),ROWS(D$6:D19)),"")</f>
        <v>46253</v>
      </c>
      <c r="E19" t="str" cm="1">
        <f t="array" aca="1" ref="E19" ca="1">IFERROR(INDEX(_xlfn._xlws.FILTER(RawData[Lead Status],RawData[Error Flag]&gt;0),ROWS(E$6:E19)),"")</f>
        <v>Cold</v>
      </c>
      <c r="F19" t="str" cm="1">
        <f t="array" aca="1" ref="F19" ca="1">IFERROR(INDEX(_xlfn._xlws.FILTER(RawData[Status],RawData[Error Flag]&gt;0),ROWS(F$6:F19)),"")</f>
        <v>Interested</v>
      </c>
      <c r="G19" s="6" t="str" cm="1">
        <f t="array" aca="1" ref="G19" ca="1">IFERROR(INDEX(_xlfn._xlws.FILTER(RawData[Comments],RawData[Error Flag]&gt;0),ROWS(G$6:G19)),"")</f>
        <v>Rnr</v>
      </c>
      <c r="H19" s="6" t="str" cm="1">
        <f t="array" aca="1" ref="H19" ca="1">IFERROR(INDEX(_xlfn._xlws.FILTER(RawData[Error Type],RawData[Error Flag]&gt;0),ROWS(H$6:H19)),"")</f>
        <v>RNR Classification Error | Customer Location Not Captured</v>
      </c>
      <c r="I19" s="6" t="str" cm="1">
        <f t="array" aca="1" ref="I19" ca="1">IFERROR(INDEX(_xlfn._xlws.FILTER(RawData[Error Details],RawData[Error Flag]&gt;0),ROWS(I$6:I19)),"")</f>
        <v>Contact outcome should remain RNR rather than Cold
Anekal is the project default; customer location was not captured</v>
      </c>
      <c r="J19" s="6" t="str" cm="1">
        <f t="array" aca="1" ref="J19" ca="1">IFERROR(INDEX(_xlfn._xlws.FILTER(RawData[Recommended Action],RawData[Error Flag]&gt;0),ROWS(J$6:J19)),"")</f>
        <v>Change lead classification to RNR and retry contact
Contact the customer and record their actual location</v>
      </c>
      <c r="K19" t="str" cm="1">
        <f t="array" aca="1" ref="K19" ca="1">IFERROR(INDEX(_xlfn._xlws.FILTER(RawData[Severity],RawData[Error Flag]&gt;0),ROWS(K$6:K19)),"")</f>
        <v>Critical</v>
      </c>
      <c r="L19" t="str" cm="1">
        <f t="array" aca="1" ref="L19" ca="1">IFERROR(INDEX(_xlfn._xlws.FILTER(RawData[Audit Status],RawData[Error Flag]&gt;0),ROWS(L$6:L19)),"")</f>
        <v>Action Required (2 errors)</v>
      </c>
    </row>
    <row r="20" spans="1:12" ht="94.5" x14ac:dyDescent="0.25">
      <c r="A20" t="str" cm="1">
        <f t="array" aca="1" ref="A20" ca="1">IFERROR(INDEX(_xlfn._xlws.FILTER(RawData[Project Name],RawData[Error Flag]&gt;0),ROWS(A$6:A20)),"")</f>
        <v>Guru Punvaanii Ernika</v>
      </c>
      <c r="B20" s="1" cm="1">
        <f t="array" aca="1" ref="B20" ca="1">IFERROR(INDEX(_xlfn._xlws.FILTER(RawData[Mobile],RawData[Error Flag]&gt;0),ROWS(B$6:B20)),"")</f>
        <v>9663972134</v>
      </c>
      <c r="C20" t="str" cm="1">
        <f t="array" aca="1" ref="C20" ca="1">IFERROR(INDEX(_xlfn._xlws.FILTER(RawData[Telecaller Name],RawData[Error Flag]&gt;0),ROWS(C$6:C20)),"")</f>
        <v>Vinutha M1</v>
      </c>
      <c r="D20" s="2" cm="1">
        <f t="array" aca="1" ref="D20" ca="1">IFERROR(INDEX(_xlfn._xlws.FILTER(RawData[Lead Registration Date],RawData[Error Flag]&gt;0),ROWS(D$6:D20)),"")</f>
        <v>46253</v>
      </c>
      <c r="E20" t="str" cm="1">
        <f t="array" aca="1" ref="E20" ca="1">IFERROR(INDEX(_xlfn._xlws.FILTER(RawData[Lead Status],RawData[Error Flag]&gt;0),ROWS(E$6:E20)),"")</f>
        <v>warm</v>
      </c>
      <c r="F20" t="str" cm="1">
        <f t="array" aca="1" ref="F20" ca="1">IFERROR(INDEX(_xlfn._xlws.FILTER(RawData[Status],RawData[Error Flag]&gt;0),ROWS(F$6:F20)),"")</f>
        <v>Interested</v>
      </c>
      <c r="G20" s="6" t="str" cm="1">
        <f t="array" aca="1" ref="G20" ca="1">IFERROR(INDEX(_xlfn._xlws.FILTER(RawData[Comments],RawData[Error Flag]&gt;0),ROWS(G$6:G20)),"")</f>
        <v>Seeing for plots and villas , seeing for self use , located at uttarhalli , seeing for ready for construction , budget -40lakhs , constructed villa -70 lakhs , said them to check with details and get back, picted for eka also</v>
      </c>
      <c r="H20" s="6" t="str" cm="1">
        <f t="array" aca="1" ref="H20" ca="1">IFERROR(INDEX(_xlfn._xlws.FILTER(RawData[Error Type],RawData[Error Flag]&gt;0),ROWS(H$6:H20)),"")</f>
        <v>Customer Location Not Captured</v>
      </c>
      <c r="I20" s="6" t="str" cm="1">
        <f t="array" aca="1" ref="I20" ca="1">IFERROR(INDEX(_xlfn._xlws.FILTER(RawData[Error Details],RawData[Error Flag]&gt;0),ROWS(I$6:I20)),"")</f>
        <v>Anekal is the project default; customer location was not captured</v>
      </c>
      <c r="J20" s="6" t="str" cm="1">
        <f t="array" aca="1" ref="J20" ca="1">IFERROR(INDEX(_xlfn._xlws.FILTER(RawData[Recommended Action],RawData[Error Flag]&gt;0),ROWS(J$6:J20)),"")</f>
        <v>Contact the customer and record their actual location</v>
      </c>
      <c r="K20" t="str" cm="1">
        <f t="array" aca="1" ref="K20" ca="1">IFERROR(INDEX(_xlfn._xlws.FILTER(RawData[Severity],RawData[Error Flag]&gt;0),ROWS(K$6:K20)),"")</f>
        <v>Medium</v>
      </c>
      <c r="L20" t="str" cm="1">
        <f t="array" aca="1" ref="L20" ca="1">IFERROR(INDEX(_xlfn._xlws.FILTER(RawData[Audit Status],RawData[Error Flag]&gt;0),ROWS(L$6:L20)),"")</f>
        <v>Action Required (1 error)</v>
      </c>
    </row>
    <row r="21" spans="1:12" ht="60" customHeight="1" x14ac:dyDescent="0.25">
      <c r="A21" t="str" cm="1">
        <f t="array" aca="1" ref="A21" ca="1">IFERROR(INDEX(_xlfn._xlws.FILTER(RawData[Project Name],RawData[Error Flag]&gt;0),ROWS(A$6:A21)),"")</f>
        <v>Guru Punvaanii Ernika</v>
      </c>
      <c r="B21" s="1" cm="1">
        <f t="array" aca="1" ref="B21" ca="1">IFERROR(INDEX(_xlfn._xlws.FILTER(RawData[Mobile],RawData[Error Flag]&gt;0),ROWS(B$6:B21)),"")</f>
        <v>9731234263</v>
      </c>
      <c r="C21" t="str" cm="1">
        <f t="array" aca="1" ref="C21" ca="1">IFERROR(INDEX(_xlfn._xlws.FILTER(RawData[Telecaller Name],RawData[Error Flag]&gt;0),ROWS(C$6:C21)),"")</f>
        <v>Vinutha M1</v>
      </c>
      <c r="D21" s="2" cm="1">
        <f t="array" aca="1" ref="D21" ca="1">IFERROR(INDEX(_xlfn._xlws.FILTER(RawData[Lead Registration Date],RawData[Error Flag]&gt;0),ROWS(D$6:D21)),"")</f>
        <v>46253</v>
      </c>
      <c r="E21" t="str" cm="1">
        <f t="array" aca="1" ref="E21" ca="1">IFERROR(INDEX(_xlfn._xlws.FILTER(RawData[Lead Status],RawData[Error Flag]&gt;0),ROWS(E$6:E21)),"")</f>
        <v>warm</v>
      </c>
      <c r="F21" t="str" cm="1">
        <f t="array" aca="1" ref="F21" ca="1">IFERROR(INDEX(_xlfn._xlws.FILTER(RawData[Status],RawData[Error Flag]&gt;0),ROWS(F$6:F21)),"")</f>
        <v>Interested</v>
      </c>
      <c r="G21" s="6" t="str" cm="1">
        <f t="array" aca="1" ref="G21" ca="1">IFERROR(INDEX(_xlfn._xlws.FILTER(RawData[Comments],RawData[Error Flag]&gt;0),ROWS(G$6:G21)),"")</f>
        <v>Voice mail</v>
      </c>
      <c r="H21" s="6" t="str" cm="1">
        <f t="array" aca="1" ref="H21" ca="1">IFERROR(INDEX(_xlfn._xlws.FILTER(RawData[Error Type],RawData[Error Flag]&gt;0),ROWS(H$6:H21)),"")</f>
        <v>Warm Status Mismatch | Customer Location Not Captured</v>
      </c>
      <c r="I21" s="6" t="str" cm="1">
        <f t="array" aca="1" ref="I21" ca="1">IFERROR(INDEX(_xlfn._xlws.FILTER(RawData[Error Details],RawData[Error Flag]&gt;0),ROWS(I$6:I21)),"")</f>
        <v>Contact-only outcome does not support Warm status
Anekal is the project default; customer location was not captured</v>
      </c>
      <c r="J21" s="6" t="str" cm="1">
        <f t="array" aca="1" ref="J21" ca="1">IFERROR(INDEX(_xlfn._xlws.FILTER(RawData[Recommended Action],RawData[Error Flag]&gt;0),ROWS(J$6:J21)),"")</f>
        <v>Validate engagement before retaining Warm status
Contact the customer and record their actual location</v>
      </c>
      <c r="K21" t="str" cm="1">
        <f t="array" aca="1" ref="K21" ca="1">IFERROR(INDEX(_xlfn._xlws.FILTER(RawData[Severity],RawData[Error Flag]&gt;0),ROWS(K$6:K21)),"")</f>
        <v>Medium</v>
      </c>
      <c r="L21" t="str" cm="1">
        <f t="array" aca="1" ref="L21" ca="1">IFERROR(INDEX(_xlfn._xlws.FILTER(RawData[Audit Status],RawData[Error Flag]&gt;0),ROWS(L$6:L21)),"")</f>
        <v>Action Required (2 errors)</v>
      </c>
    </row>
    <row r="22" spans="1:12" ht="60" customHeight="1" x14ac:dyDescent="0.25">
      <c r="A22" t="str" cm="1">
        <f t="array" aca="1" ref="A22" ca="1">IFERROR(INDEX(_xlfn._xlws.FILTER(RawData[Project Name],RawData[Error Flag]&gt;0),ROWS(A$6:A22)),"")</f>
        <v>Guru Punvaanii Ernika</v>
      </c>
      <c r="B22" s="1" cm="1">
        <f t="array" aca="1" ref="B22" ca="1">IFERROR(INDEX(_xlfn._xlws.FILTER(RawData[Mobile],RawData[Error Flag]&gt;0),ROWS(B$6:B22)),"")</f>
        <v>9742842886</v>
      </c>
      <c r="C22" t="str" cm="1">
        <f t="array" aca="1" ref="C22" ca="1">IFERROR(INDEX(_xlfn._xlws.FILTER(RawData[Telecaller Name],RawData[Error Flag]&gt;0),ROWS(C$6:C22)),"")</f>
        <v>Vinutha M1</v>
      </c>
      <c r="D22" s="2" cm="1">
        <f t="array" aca="1" ref="D22" ca="1">IFERROR(INDEX(_xlfn._xlws.FILTER(RawData[Lead Registration Date],RawData[Error Flag]&gt;0),ROWS(D$6:D22)),"")</f>
        <v>46253</v>
      </c>
      <c r="E22" t="str" cm="1">
        <f t="array" aca="1" ref="E22" ca="1">IFERROR(INDEX(_xlfn._xlws.FILTER(RawData[Lead Status],RawData[Error Flag]&gt;0),ROWS(E$6:E22)),"")</f>
        <v>warm</v>
      </c>
      <c r="F22" t="str" cm="1">
        <f t="array" aca="1" ref="F22" ca="1">IFERROR(INDEX(_xlfn._xlws.FILTER(RawData[Status],RawData[Error Flag]&gt;0),ROWS(F$6:F22)),"")</f>
        <v>Interested</v>
      </c>
      <c r="G22" s="6" t="str" cm="1">
        <f t="array" aca="1" ref="G22" ca="1">IFERROR(INDEX(_xlfn._xlws.FILTER(RawData[Comments],RawData[Error Flag]&gt;0),ROWS(G$6:G22)),"")</f>
        <v>Busy</v>
      </c>
      <c r="H22" s="6" t="str" cm="1">
        <f t="array" aca="1" ref="H22" ca="1">IFERROR(INDEX(_xlfn._xlws.FILTER(RawData[Error Type],RawData[Error Flag]&gt;0),ROWS(H$6:H22)),"")</f>
        <v>Warm Status Mismatch | Customer Location Not Captured</v>
      </c>
      <c r="I22" s="6" t="str" cm="1">
        <f t="array" aca="1" ref="I22" ca="1">IFERROR(INDEX(_xlfn._xlws.FILTER(RawData[Error Details],RawData[Error Flag]&gt;0),ROWS(I$6:I22)),"")</f>
        <v>Contact-only outcome does not support Warm status
Anekal is the project default; customer location was not captured</v>
      </c>
      <c r="J22" s="6" t="str" cm="1">
        <f t="array" aca="1" ref="J22" ca="1">IFERROR(INDEX(_xlfn._xlws.FILTER(RawData[Recommended Action],RawData[Error Flag]&gt;0),ROWS(J$6:J22)),"")</f>
        <v>Validate engagement before retaining Warm status
Contact the customer and record their actual location</v>
      </c>
      <c r="K22" t="str" cm="1">
        <f t="array" aca="1" ref="K22" ca="1">IFERROR(INDEX(_xlfn._xlws.FILTER(RawData[Severity],RawData[Error Flag]&gt;0),ROWS(K$6:K22)),"")</f>
        <v>Medium</v>
      </c>
      <c r="L22" t="str" cm="1">
        <f t="array" aca="1" ref="L22" ca="1">IFERROR(INDEX(_xlfn._xlws.FILTER(RawData[Audit Status],RawData[Error Flag]&gt;0),ROWS(L$6:L22)),"")</f>
        <v>Action Required (2 errors)</v>
      </c>
    </row>
    <row r="23" spans="1:12" ht="31.5" x14ac:dyDescent="0.25">
      <c r="A23" t="str" cm="1">
        <f t="array" aca="1" ref="A23" ca="1">IFERROR(INDEX(_xlfn._xlws.FILTER(RawData[Project Name],RawData[Error Flag]&gt;0),ROWS(A$6:A23)),"")</f>
        <v>Guru Punvaanii Ernika</v>
      </c>
      <c r="B23" s="1" cm="1">
        <f t="array" aca="1" ref="B23" ca="1">IFERROR(INDEX(_xlfn._xlws.FILTER(RawData[Mobile],RawData[Error Flag]&gt;0),ROWS(B$6:B23)),"")</f>
        <v>9866183030</v>
      </c>
      <c r="C23" t="str" cm="1">
        <f t="array" aca="1" ref="C23" ca="1">IFERROR(INDEX(_xlfn._xlws.FILTER(RawData[Telecaller Name],RawData[Error Flag]&gt;0),ROWS(C$6:C23)),"")</f>
        <v>Vinutha M1</v>
      </c>
      <c r="D23" s="2" cm="1">
        <f t="array" aca="1" ref="D23" ca="1">IFERROR(INDEX(_xlfn._xlws.FILTER(RawData[Lead Registration Date],RawData[Error Flag]&gt;0),ROWS(D$6:D23)),"")</f>
        <v>46253</v>
      </c>
      <c r="E23" t="str" cm="1">
        <f t="array" aca="1" ref="E23" ca="1">IFERROR(INDEX(_xlfn._xlws.FILTER(RawData[Lead Status],RawData[Error Flag]&gt;0),ROWS(E$6:E23)),"")</f>
        <v>warm</v>
      </c>
      <c r="F23" t="str" cm="1">
        <f t="array" aca="1" ref="F23" ca="1">IFERROR(INDEX(_xlfn._xlws.FILTER(RawData[Status],RawData[Error Flag]&gt;0),ROWS(F$6:F23)),"")</f>
        <v>Interested</v>
      </c>
      <c r="G23" s="6" t="str" cm="1">
        <f t="array" aca="1" ref="G23" ca="1">IFERROR(INDEX(_xlfn._xlws.FILTER(RawData[Comments],RawData[Error Flag]&gt;0),ROWS(G$6:G23)),"")</f>
        <v>Rnr</v>
      </c>
      <c r="H23" s="6" t="str" cm="1">
        <f t="array" aca="1" ref="H23" ca="1">IFERROR(INDEX(_xlfn._xlws.FILTER(RawData[Error Type],RawData[Error Flag]&gt;0),ROWS(H$6:H23)),"")</f>
        <v>Customer Location Not Captured</v>
      </c>
      <c r="I23" s="6" t="str" cm="1">
        <f t="array" aca="1" ref="I23" ca="1">IFERROR(INDEX(_xlfn._xlws.FILTER(RawData[Error Details],RawData[Error Flag]&gt;0),ROWS(I$6:I23)),"")</f>
        <v>Anekal is the project default; customer location was not captured</v>
      </c>
      <c r="J23" s="6" t="str" cm="1">
        <f t="array" aca="1" ref="J23" ca="1">IFERROR(INDEX(_xlfn._xlws.FILTER(RawData[Recommended Action],RawData[Error Flag]&gt;0),ROWS(J$6:J23)),"")</f>
        <v>Contact the customer and record their actual location</v>
      </c>
      <c r="K23" t="str" cm="1">
        <f t="array" aca="1" ref="K23" ca="1">IFERROR(INDEX(_xlfn._xlws.FILTER(RawData[Severity],RawData[Error Flag]&gt;0),ROWS(K$6:K23)),"")</f>
        <v>Medium</v>
      </c>
      <c r="L23" t="str" cm="1">
        <f t="array" aca="1" ref="L23" ca="1">IFERROR(INDEX(_xlfn._xlws.FILTER(RawData[Audit Status],RawData[Error Flag]&gt;0),ROWS(L$6:L23)),"")</f>
        <v>Action Required (1 error)</v>
      </c>
    </row>
    <row r="24" spans="1:12" ht="31.5" x14ac:dyDescent="0.25">
      <c r="A24" t="str" cm="1">
        <f t="array" aca="1" ref="A24" ca="1">IFERROR(INDEX(_xlfn._xlws.FILTER(RawData[Project Name],RawData[Error Flag]&gt;0),ROWS(A$6:A24)),"")</f>
        <v>Guru Punvaanii Ernika</v>
      </c>
      <c r="B24" s="1" cm="1">
        <f t="array" aca="1" ref="B24" ca="1">IFERROR(INDEX(_xlfn._xlws.FILTER(RawData[Mobile],RawData[Error Flag]&gt;0),ROWS(B$6:B24)),"")</f>
        <v>9980197119</v>
      </c>
      <c r="C24" t="str" cm="1">
        <f t="array" aca="1" ref="C24" ca="1">IFERROR(INDEX(_xlfn._xlws.FILTER(RawData[Telecaller Name],RawData[Error Flag]&gt;0),ROWS(C$6:C24)),"")</f>
        <v>Vinutha M1</v>
      </c>
      <c r="D24" s="2" cm="1">
        <f t="array" aca="1" ref="D24" ca="1">IFERROR(INDEX(_xlfn._xlws.FILTER(RawData[Lead Registration Date],RawData[Error Flag]&gt;0),ROWS(D$6:D24)),"")</f>
        <v>46254</v>
      </c>
      <c r="E24" t="str" cm="1">
        <f t="array" aca="1" ref="E24" ca="1">IFERROR(INDEX(_xlfn._xlws.FILTER(RawData[Lead Status],RawData[Error Flag]&gt;0),ROWS(E$6:E24)),"")</f>
        <v>warm</v>
      </c>
      <c r="F24" t="str" cm="1">
        <f t="array" aca="1" ref="F24" ca="1">IFERROR(INDEX(_xlfn._xlws.FILTER(RawData[Status],RawData[Error Flag]&gt;0),ROWS(F$6:F24)),"")</f>
        <v>Interested</v>
      </c>
      <c r="G24" s="6" t="str" cm="1">
        <f t="array" aca="1" ref="G24" ca="1">IFERROR(INDEX(_xlfn._xlws.FILTER(RawData[Comments],RawData[Error Flag]&gt;0),ROWS(G$6:G24)),"")</f>
        <v>Rnr</v>
      </c>
      <c r="H24" s="6" t="str" cm="1">
        <f t="array" aca="1" ref="H24" ca="1">IFERROR(INDEX(_xlfn._xlws.FILTER(RawData[Error Type],RawData[Error Flag]&gt;0),ROWS(H$6:H24)),"")</f>
        <v>Customer Location Not Captured</v>
      </c>
      <c r="I24" s="6" t="str" cm="1">
        <f t="array" aca="1" ref="I24" ca="1">IFERROR(INDEX(_xlfn._xlws.FILTER(RawData[Error Details],RawData[Error Flag]&gt;0),ROWS(I$6:I24)),"")</f>
        <v>Anekal is the project default; customer location was not captured</v>
      </c>
      <c r="J24" s="6" t="str" cm="1">
        <f t="array" aca="1" ref="J24" ca="1">IFERROR(INDEX(_xlfn._xlws.FILTER(RawData[Recommended Action],RawData[Error Flag]&gt;0),ROWS(J$6:J24)),"")</f>
        <v>Contact the customer and record their actual location</v>
      </c>
      <c r="K24" t="str" cm="1">
        <f t="array" aca="1" ref="K24" ca="1">IFERROR(INDEX(_xlfn._xlws.FILTER(RawData[Severity],RawData[Error Flag]&gt;0),ROWS(K$6:K24)),"")</f>
        <v>Medium</v>
      </c>
      <c r="L24" t="str" cm="1">
        <f t="array" aca="1" ref="L24" ca="1">IFERROR(INDEX(_xlfn._xlws.FILTER(RawData[Audit Status],RawData[Error Flag]&gt;0),ROWS(L$6:L24)),"")</f>
        <v>Action Required (1 error)</v>
      </c>
    </row>
    <row r="25" spans="1:12" ht="78.75" x14ac:dyDescent="0.25">
      <c r="A25" t="str" cm="1">
        <f t="array" aca="1" ref="A25" ca="1">IFERROR(INDEX(_xlfn._xlws.FILTER(RawData[Project Name],RawData[Error Flag]&gt;0),ROWS(A$6:A25)),"")</f>
        <v>Guru Punvaanii Eureka</v>
      </c>
      <c r="B25" s="1" cm="1">
        <f t="array" aca="1" ref="B25" ca="1">IFERROR(INDEX(_xlfn._xlws.FILTER(RawData[Mobile],RawData[Error Flag]&gt;0),ROWS(B$6:B25)),"")</f>
        <v>9113032590</v>
      </c>
      <c r="C25" t="str" cm="1">
        <f t="array" aca="1" ref="C25" ca="1">IFERROR(INDEX(_xlfn._xlws.FILTER(RawData[Telecaller Name],RawData[Error Flag]&gt;0),ROWS(C$6:C25)),"")</f>
        <v>Amulya P</v>
      </c>
      <c r="D25" s="2" cm="1">
        <f t="array" aca="1" ref="D25" ca="1">IFERROR(INDEX(_xlfn._xlws.FILTER(RawData[Lead Registration Date],RawData[Error Flag]&gt;0),ROWS(D$6:D25)),"")</f>
        <v>46254</v>
      </c>
      <c r="E25" t="str" cm="1">
        <f t="array" aca="1" ref="E25" ca="1">IFERROR(INDEX(_xlfn._xlws.FILTER(RawData[Lead Status],RawData[Error Flag]&gt;0),ROWS(E$6:E25)),"")</f>
        <v>warm</v>
      </c>
      <c r="F25" t="str" cm="1">
        <f t="array" aca="1" ref="F25" ca="1">IFERROR(INDEX(_xlfn._xlws.FILTER(RawData[Status],RawData[Error Flag]&gt;0),ROWS(F$6:F25)),"")</f>
        <v>Interested</v>
      </c>
      <c r="G25" s="6" t="str" cm="1">
        <f t="array" aca="1" ref="G25" ca="1">IFERROR(INDEX(_xlfn._xlws.FILTER(RawData[Comments],RawData[Error Flag]&gt;0),ROWS(G$6:G25)),"")</f>
        <v>he is looking for investment purpose his friend refered him our project he is located in MEI layout near baglugunte he is planning to go wiith loan his budget is upto 2.5k/sqft</v>
      </c>
      <c r="H25" s="6" t="str" cm="1">
        <f t="array" aca="1" ref="H25" ca="1">IFERROR(INDEX(_xlfn._xlws.FILTER(RawData[Error Type],RawData[Error Flag]&gt;0),ROWS(H$6:H25)),"")</f>
        <v>Follow-up Error</v>
      </c>
      <c r="I25" s="6" t="str" cm="1">
        <f t="array" aca="1" ref="I25" ca="1">IFERROR(INDEX(_xlfn._xlws.FILTER(RawData[Error Details],RawData[Error Flag]&gt;0),ROWS(I$6:I25)),"")</f>
        <v>Follow-up date/time has passed for an active lead</v>
      </c>
      <c r="J25" s="6" t="str" cm="1">
        <f t="array" aca="1" ref="J25" ca="1">IFERROR(INDEX(_xlfn._xlws.FILTER(RawData[Recommended Action],RawData[Error Flag]&gt;0),ROWS(J$6:J25)),"")</f>
        <v>Contact immediately and set the next follow-up</v>
      </c>
      <c r="K25" t="str" cm="1">
        <f t="array" aca="1" ref="K25" ca="1">IFERROR(INDEX(_xlfn._xlws.FILTER(RawData[Severity],RawData[Error Flag]&gt;0),ROWS(K$6:K25)),"")</f>
        <v>Critical</v>
      </c>
      <c r="L25" t="str" cm="1">
        <f t="array" aca="1" ref="L25" ca="1">IFERROR(INDEX(_xlfn._xlws.FILTER(RawData[Audit Status],RawData[Error Flag]&gt;0),ROWS(L$6:L25)),"")</f>
        <v>Action Required (1 error)</v>
      </c>
    </row>
    <row r="26" spans="1:12" ht="94.5" x14ac:dyDescent="0.25">
      <c r="A26" t="str" cm="1">
        <f t="array" aca="1" ref="A26" ca="1">IFERROR(INDEX(_xlfn._xlws.FILTER(RawData[Project Name],RawData[Error Flag]&gt;0),ROWS(A$6:A26)),"")</f>
        <v>Guru Punvaanii Shyam Residency</v>
      </c>
      <c r="B26" s="1" cm="1">
        <f t="array" aca="1" ref="B26" ca="1">IFERROR(INDEX(_xlfn._xlws.FILTER(RawData[Mobile],RawData[Error Flag]&gt;0),ROWS(B$6:B26)),"")</f>
        <v>8451989990</v>
      </c>
      <c r="C26" t="str" cm="1">
        <f t="array" aca="1" ref="C26" ca="1">IFERROR(INDEX(_xlfn._xlws.FILTER(RawData[Telecaller Name],RawData[Error Flag]&gt;0),ROWS(C$6:C26)),"")</f>
        <v>Manoj Vs 1</v>
      </c>
      <c r="D26" s="2" cm="1">
        <f t="array" aca="1" ref="D26" ca="1">IFERROR(INDEX(_xlfn._xlws.FILTER(RawData[Lead Registration Date],RawData[Error Flag]&gt;0),ROWS(D$6:D26)),"")</f>
        <v>46254</v>
      </c>
      <c r="E26" t="str" cm="1">
        <f t="array" aca="1" ref="E26" ca="1">IFERROR(INDEX(_xlfn._xlws.FILTER(RawData[Lead Status],RawData[Error Flag]&gt;0),ROWS(E$6:E26)),"")</f>
        <v>Cold</v>
      </c>
      <c r="F26" t="str" cm="1">
        <f t="array" aca="1" ref="F26" ca="1">IFERROR(INDEX(_xlfn._xlws.FILTER(RawData[Status],RawData[Error Flag]&gt;0),ROWS(F$6:F26)),"")</f>
        <v>Interested</v>
      </c>
      <c r="G26" s="6" t="str" cm="1">
        <f t="array" aca="1" ref="G26" ca="1">IFERROR(INDEX(_xlfn._xlws.FILTER(RawData[Comments],RawData[Error Flag]&gt;0),ROWS(G$6:G26)),"")</f>
        <v>He is looking for an investment. his budget is 60-70L. explained about Shyam,Etasha and also Eureka. he would like to have all project details. He will go through and he will come back by next week to tke it further</v>
      </c>
      <c r="H26" s="6" t="str" cm="1">
        <f t="array" aca="1" ref="H26" ca="1">IFERROR(INDEX(_xlfn._xlws.FILTER(RawData[Error Type],RawData[Error Flag]&gt;0),ROWS(H$6:H26)),"")</f>
        <v>Wrong Lead Status</v>
      </c>
      <c r="I26" s="6" t="str" cm="1">
        <f t="array" aca="1" ref="I26" ca="1">IFERROR(INDEX(_xlfn._xlws.FILTER(RawData[Error Details],RawData[Error Flag]&gt;0),ROWS(I$6:I26)),"")</f>
        <v>Engagement intent conflicts with Cold/Lost status</v>
      </c>
      <c r="J26" s="6" t="str" cm="1">
        <f t="array" aca="1" ref="J26" ca="1">IFERROR(INDEX(_xlfn._xlws.FILTER(RawData[Recommended Action],RawData[Error Flag]&gt;0),ROWS(J$6:J26)),"")</f>
        <v>Reclassify lead and schedule a documented follow-up</v>
      </c>
      <c r="K26" t="str" cm="1">
        <f t="array" aca="1" ref="K26" ca="1">IFERROR(INDEX(_xlfn._xlws.FILTER(RawData[Severity],RawData[Error Flag]&gt;0),ROWS(K$6:K26)),"")</f>
        <v>Critical</v>
      </c>
      <c r="L26" t="str" cm="1">
        <f t="array" aca="1" ref="L26" ca="1">IFERROR(INDEX(_xlfn._xlws.FILTER(RawData[Audit Status],RawData[Error Flag]&gt;0),ROWS(L$6:L26)),"")</f>
        <v>Action Required (1 error)</v>
      </c>
    </row>
    <row r="27" spans="1:12" ht="63" x14ac:dyDescent="0.25">
      <c r="A27" t="str" cm="1">
        <f t="array" aca="1" ref="A27" ca="1">IFERROR(INDEX(_xlfn._xlws.FILTER(RawData[Project Name],RawData[Error Flag]&gt;0),ROWS(A$6:A27)),"")</f>
        <v>Guru Punvaanii Shyam Residency</v>
      </c>
      <c r="B27" s="1" cm="1">
        <f t="array" aca="1" ref="B27" ca="1">IFERROR(INDEX(_xlfn._xlws.FILTER(RawData[Mobile],RawData[Error Flag]&gt;0),ROWS(B$6:B27)),"")</f>
        <v>9538130876</v>
      </c>
      <c r="C27" t="str" cm="1">
        <f t="array" aca="1" ref="C27" ca="1">IFERROR(INDEX(_xlfn._xlws.FILTER(RawData[Telecaller Name],RawData[Error Flag]&gt;0),ROWS(C$6:C27)),"")</f>
        <v>Manoj Vs 1</v>
      </c>
      <c r="D27" s="2" cm="1">
        <f t="array" aca="1" ref="D27" ca="1">IFERROR(INDEX(_xlfn._xlws.FILTER(RawData[Lead Registration Date],RawData[Error Flag]&gt;0),ROWS(D$6:D27)),"")</f>
        <v>46254</v>
      </c>
      <c r="E27" t="str" cm="1">
        <f t="array" aca="1" ref="E27" ca="1">IFERROR(INDEX(_xlfn._xlws.FILTER(RawData[Lead Status],RawData[Error Flag]&gt;0),ROWS(E$6:E27)),"")</f>
        <v>Cold</v>
      </c>
      <c r="F27" t="str" cm="1">
        <f t="array" aca="1" ref="F27" ca="1">IFERROR(INDEX(_xlfn._xlws.FILTER(RawData[Status],RawData[Error Flag]&gt;0),ROWS(F$6:F27)),"")</f>
        <v>Interested</v>
      </c>
      <c r="G27" s="6" t="str" cm="1">
        <f t="array" aca="1" ref="G27" ca="1">IFERROR(INDEX(_xlfn._xlws.FILTER(RawData[Comments],RawData[Error Flag]&gt;0),ROWS(G$6:G27)),"")</f>
        <v>She is looking for 1500 sq feet plot with 1 cr Budget. she asked to share details and she will go through and she will confirm for visit.</v>
      </c>
      <c r="H27" s="6" t="str" cm="1">
        <f t="array" aca="1" ref="H27" ca="1">IFERROR(INDEX(_xlfn._xlws.FILTER(RawData[Error Type],RawData[Error Flag]&gt;0),ROWS(H$6:H27)),"")</f>
        <v>Wrong Lead Status</v>
      </c>
      <c r="I27" s="6" t="str" cm="1">
        <f t="array" aca="1" ref="I27" ca="1">IFERROR(INDEX(_xlfn._xlws.FILTER(RawData[Error Details],RawData[Error Flag]&gt;0),ROWS(I$6:I27)),"")</f>
        <v>Engagement intent conflicts with Cold/Lost status</v>
      </c>
      <c r="J27" s="6" t="str" cm="1">
        <f t="array" aca="1" ref="J27" ca="1">IFERROR(INDEX(_xlfn._xlws.FILTER(RawData[Recommended Action],RawData[Error Flag]&gt;0),ROWS(J$6:J27)),"")</f>
        <v>Reclassify lead and schedule a documented follow-up</v>
      </c>
      <c r="K27" t="str" cm="1">
        <f t="array" aca="1" ref="K27" ca="1">IFERROR(INDEX(_xlfn._xlws.FILTER(RawData[Severity],RawData[Error Flag]&gt;0),ROWS(K$6:K27)),"")</f>
        <v>Critical</v>
      </c>
      <c r="L27" t="str" cm="1">
        <f t="array" aca="1" ref="L27" ca="1">IFERROR(INDEX(_xlfn._xlws.FILTER(RawData[Audit Status],RawData[Error Flag]&gt;0),ROWS(L$6:L27)),"")</f>
        <v>Action Required (1 error)</v>
      </c>
    </row>
    <row r="28" spans="1:12" ht="63" x14ac:dyDescent="0.25">
      <c r="A28" t="str" cm="1">
        <f t="array" aca="1" ref="A28" ca="1">IFERROR(INDEX(_xlfn._xlws.FILTER(RawData[Project Name],RawData[Error Flag]&gt;0),ROWS(A$6:A28)),"")</f>
        <v>Guru Punvaanii Shyam Residency</v>
      </c>
      <c r="B28" s="1" cm="1">
        <f t="array" aca="1" ref="B28" ca="1">IFERROR(INDEX(_xlfn._xlws.FILTER(RawData[Mobile],RawData[Error Flag]&gt;0),ROWS(B$6:B28)),"")</f>
        <v>9986227911</v>
      </c>
      <c r="C28" t="str" cm="1">
        <f t="array" aca="1" ref="C28" ca="1">IFERROR(INDEX(_xlfn._xlws.FILTER(RawData[Telecaller Name],RawData[Error Flag]&gt;0),ROWS(C$6:C28)),"")</f>
        <v>Manoj Vs 1</v>
      </c>
      <c r="D28" s="2" cm="1">
        <f t="array" aca="1" ref="D28" ca="1">IFERROR(INDEX(_xlfn._xlws.FILTER(RawData[Lead Registration Date],RawData[Error Flag]&gt;0),ROWS(D$6:D28)),"")</f>
        <v>46254</v>
      </c>
      <c r="E28" t="str" cm="1">
        <f t="array" aca="1" ref="E28" ca="1">IFERROR(INDEX(_xlfn._xlws.FILTER(RawData[Lead Status],RawData[Error Flag]&gt;0),ROWS(E$6:E28)),"")</f>
        <v>Cold</v>
      </c>
      <c r="F28" t="str" cm="1">
        <f t="array" aca="1" ref="F28" ca="1">IFERROR(INDEX(_xlfn._xlws.FILTER(RawData[Status],RawData[Error Flag]&gt;0),ROWS(F$6:F28)),"")</f>
        <v>Interested</v>
      </c>
      <c r="G28" s="6" t="str" cm="1">
        <f t="array" aca="1" ref="G28" ca="1">IFERROR(INDEX(_xlfn._xlws.FILTER(RawData[Comments],RawData[Error Flag]&gt;0),ROWS(G$6:G28)),"")</f>
        <v>He asked to share the details. He will check the location first. if its convenient he will confirm for site visit.</v>
      </c>
      <c r="H28" s="6" t="str" cm="1">
        <f t="array" aca="1" ref="H28" ca="1">IFERROR(INDEX(_xlfn._xlws.FILTER(RawData[Error Type],RawData[Error Flag]&gt;0),ROWS(H$6:H28)),"")</f>
        <v>Wrong Lead Status</v>
      </c>
      <c r="I28" s="6" t="str" cm="1">
        <f t="array" aca="1" ref="I28" ca="1">IFERROR(INDEX(_xlfn._xlws.FILTER(RawData[Error Details],RawData[Error Flag]&gt;0),ROWS(I$6:I28)),"")</f>
        <v>Engagement intent conflicts with Cold/Lost status</v>
      </c>
      <c r="J28" s="6" t="str" cm="1">
        <f t="array" aca="1" ref="J28" ca="1">IFERROR(INDEX(_xlfn._xlws.FILTER(RawData[Recommended Action],RawData[Error Flag]&gt;0),ROWS(J$6:J28)),"")</f>
        <v>Reclassify lead and schedule a documented follow-up</v>
      </c>
      <c r="K28" t="str" cm="1">
        <f t="array" aca="1" ref="K28" ca="1">IFERROR(INDEX(_xlfn._xlws.FILTER(RawData[Severity],RawData[Error Flag]&gt;0),ROWS(K$6:K28)),"")</f>
        <v>Critical</v>
      </c>
      <c r="L28" t="str" cm="1">
        <f t="array" aca="1" ref="L28" ca="1">IFERROR(INDEX(_xlfn._xlws.FILTER(RawData[Audit Status],RawData[Error Flag]&gt;0),ROWS(L$6:L28)),"")</f>
        <v>Action Required (1 error)</v>
      </c>
    </row>
    <row r="29" spans="1:12" x14ac:dyDescent="0.25">
      <c r="A29" t="str" cm="1">
        <f t="array" aca="1" ref="A29" ca="1">IFERROR(INDEX(_xlfn._xlws.FILTER(RawData[Project Name],RawData[Error Flag]&gt;0),ROWS(A$6:A29)),"")</f>
        <v/>
      </c>
      <c r="B29" s="1" t="str" cm="1">
        <f t="array" aca="1" ref="B29" ca="1">IFERROR(INDEX(_xlfn._xlws.FILTER(RawData[Mobile],RawData[Error Flag]&gt;0),ROWS(B$6:B29)),"")</f>
        <v/>
      </c>
      <c r="C29" t="str" cm="1">
        <f t="array" aca="1" ref="C29" ca="1">IFERROR(INDEX(_xlfn._xlws.FILTER(RawData[Telecaller Name],RawData[Error Flag]&gt;0),ROWS(C$6:C29)),"")</f>
        <v/>
      </c>
      <c r="D29" s="2" t="str" cm="1">
        <f t="array" aca="1" ref="D29" ca="1">IFERROR(INDEX(_xlfn._xlws.FILTER(RawData[Lead Registration Date],RawData[Error Flag]&gt;0),ROWS(D$6:D29)),"")</f>
        <v/>
      </c>
      <c r="E29" t="str" cm="1">
        <f t="array" aca="1" ref="E29" ca="1">IFERROR(INDEX(_xlfn._xlws.FILTER(RawData[Lead Status],RawData[Error Flag]&gt;0),ROWS(E$6:E29)),"")</f>
        <v/>
      </c>
      <c r="F29" t="str" cm="1">
        <f t="array" aca="1" ref="F29" ca="1">IFERROR(INDEX(_xlfn._xlws.FILTER(RawData[Status],RawData[Error Flag]&gt;0),ROWS(F$6:F29)),"")</f>
        <v/>
      </c>
      <c r="G29" s="6" t="str" cm="1">
        <f t="array" aca="1" ref="G29" ca="1">IFERROR(INDEX(_xlfn._xlws.FILTER(RawData[Comments],RawData[Error Flag]&gt;0),ROWS(G$6:G29)),"")</f>
        <v/>
      </c>
      <c r="H29" s="6" t="str" cm="1">
        <f t="array" aca="1" ref="H29" ca="1">IFERROR(INDEX(_xlfn._xlws.FILTER(RawData[Error Type],RawData[Error Flag]&gt;0),ROWS(H$6:H29)),"")</f>
        <v/>
      </c>
      <c r="I29" s="6" t="str" cm="1">
        <f t="array" aca="1" ref="I29" ca="1">IFERROR(INDEX(_xlfn._xlws.FILTER(RawData[Error Details],RawData[Error Flag]&gt;0),ROWS(I$6:I29)),"")</f>
        <v/>
      </c>
      <c r="J29" s="6" t="str" cm="1">
        <f t="array" aca="1" ref="J29" ca="1">IFERROR(INDEX(_xlfn._xlws.FILTER(RawData[Recommended Action],RawData[Error Flag]&gt;0),ROWS(J$6:J29)),"")</f>
        <v/>
      </c>
      <c r="K29" t="str" cm="1">
        <f t="array" aca="1" ref="K29" ca="1">IFERROR(INDEX(_xlfn._xlws.FILTER(RawData[Severity],RawData[Error Flag]&gt;0),ROWS(K$6:K29)),"")</f>
        <v/>
      </c>
      <c r="L29" t="str" cm="1">
        <f t="array" aca="1" ref="L29" ca="1">IFERROR(INDEX(_xlfn._xlws.FILTER(RawData[Audit Status],RawData[Error Flag]&gt;0),ROWS(L$6:L29)),"")</f>
        <v/>
      </c>
    </row>
    <row r="30" spans="1:12" x14ac:dyDescent="0.25">
      <c r="A30" t="str" cm="1">
        <f t="array" aca="1" ref="A30" ca="1">IFERROR(INDEX(_xlfn._xlws.FILTER(RawData[Project Name],RawData[Error Flag]&gt;0),ROWS(A$6:A30)),"")</f>
        <v/>
      </c>
      <c r="B30" s="1" t="str" cm="1">
        <f t="array" aca="1" ref="B30" ca="1">IFERROR(INDEX(_xlfn._xlws.FILTER(RawData[Mobile],RawData[Error Flag]&gt;0),ROWS(B$6:B30)),"")</f>
        <v/>
      </c>
      <c r="C30" t="str" cm="1">
        <f t="array" aca="1" ref="C30" ca="1">IFERROR(INDEX(_xlfn._xlws.FILTER(RawData[Telecaller Name],RawData[Error Flag]&gt;0),ROWS(C$6:C30)),"")</f>
        <v/>
      </c>
      <c r="D30" s="2" t="str" cm="1">
        <f t="array" aca="1" ref="D30" ca="1">IFERROR(INDEX(_xlfn._xlws.FILTER(RawData[Lead Registration Date],RawData[Error Flag]&gt;0),ROWS(D$6:D30)),"")</f>
        <v/>
      </c>
      <c r="E30" t="str" cm="1">
        <f t="array" aca="1" ref="E30" ca="1">IFERROR(INDEX(_xlfn._xlws.FILTER(RawData[Lead Status],RawData[Error Flag]&gt;0),ROWS(E$6:E30)),"")</f>
        <v/>
      </c>
      <c r="F30" t="str" cm="1">
        <f t="array" aca="1" ref="F30" ca="1">IFERROR(INDEX(_xlfn._xlws.FILTER(RawData[Status],RawData[Error Flag]&gt;0),ROWS(F$6:F30)),"")</f>
        <v/>
      </c>
      <c r="G30" s="6" t="str" cm="1">
        <f t="array" aca="1" ref="G30" ca="1">IFERROR(INDEX(_xlfn._xlws.FILTER(RawData[Comments],RawData[Error Flag]&gt;0),ROWS(G$6:G30)),"")</f>
        <v/>
      </c>
      <c r="H30" s="6" t="str" cm="1">
        <f t="array" aca="1" ref="H30" ca="1">IFERROR(INDEX(_xlfn._xlws.FILTER(RawData[Error Type],RawData[Error Flag]&gt;0),ROWS(H$6:H30)),"")</f>
        <v/>
      </c>
      <c r="I30" s="6" t="str" cm="1">
        <f t="array" aca="1" ref="I30" ca="1">IFERROR(INDEX(_xlfn._xlws.FILTER(RawData[Error Details],RawData[Error Flag]&gt;0),ROWS(I$6:I30)),"")</f>
        <v/>
      </c>
      <c r="J30" s="6" t="str" cm="1">
        <f t="array" aca="1" ref="J30" ca="1">IFERROR(INDEX(_xlfn._xlws.FILTER(RawData[Recommended Action],RawData[Error Flag]&gt;0),ROWS(J$6:J30)),"")</f>
        <v/>
      </c>
      <c r="K30" t="str" cm="1">
        <f t="array" aca="1" ref="K30" ca="1">IFERROR(INDEX(_xlfn._xlws.FILTER(RawData[Severity],RawData[Error Flag]&gt;0),ROWS(K$6:K30)),"")</f>
        <v/>
      </c>
      <c r="L30" t="str" cm="1">
        <f t="array" aca="1" ref="L30" ca="1">IFERROR(INDEX(_xlfn._xlws.FILTER(RawData[Audit Status],RawData[Error Flag]&gt;0),ROWS(L$6:L30)),"")</f>
        <v/>
      </c>
    </row>
    <row r="31" spans="1:12" x14ac:dyDescent="0.25">
      <c r="A31" t="str" cm="1">
        <f t="array" aca="1" ref="A31" ca="1">IFERROR(INDEX(_xlfn._xlws.FILTER(RawData[Project Name],RawData[Error Flag]&gt;0),ROWS(A$6:A31)),"")</f>
        <v/>
      </c>
      <c r="B31" s="1" t="str" cm="1">
        <f t="array" aca="1" ref="B31" ca="1">IFERROR(INDEX(_xlfn._xlws.FILTER(RawData[Mobile],RawData[Error Flag]&gt;0),ROWS(B$6:B31)),"")</f>
        <v/>
      </c>
      <c r="C31" t="str" cm="1">
        <f t="array" aca="1" ref="C31" ca="1">IFERROR(INDEX(_xlfn._xlws.FILTER(RawData[Telecaller Name],RawData[Error Flag]&gt;0),ROWS(C$6:C31)),"")</f>
        <v/>
      </c>
      <c r="D31" s="2" t="str" cm="1">
        <f t="array" aca="1" ref="D31" ca="1">IFERROR(INDEX(_xlfn._xlws.FILTER(RawData[Lead Registration Date],RawData[Error Flag]&gt;0),ROWS(D$6:D31)),"")</f>
        <v/>
      </c>
      <c r="E31" t="str" cm="1">
        <f t="array" aca="1" ref="E31" ca="1">IFERROR(INDEX(_xlfn._xlws.FILTER(RawData[Lead Status],RawData[Error Flag]&gt;0),ROWS(E$6:E31)),"")</f>
        <v/>
      </c>
      <c r="F31" t="str" cm="1">
        <f t="array" aca="1" ref="F31" ca="1">IFERROR(INDEX(_xlfn._xlws.FILTER(RawData[Status],RawData[Error Flag]&gt;0),ROWS(F$6:F31)),"")</f>
        <v/>
      </c>
      <c r="G31" s="6" t="str" cm="1">
        <f t="array" aca="1" ref="G31" ca="1">IFERROR(INDEX(_xlfn._xlws.FILTER(RawData[Comments],RawData[Error Flag]&gt;0),ROWS(G$6:G31)),"")</f>
        <v/>
      </c>
      <c r="H31" s="6" t="str" cm="1">
        <f t="array" aca="1" ref="H31" ca="1">IFERROR(INDEX(_xlfn._xlws.FILTER(RawData[Error Type],RawData[Error Flag]&gt;0),ROWS(H$6:H31)),"")</f>
        <v/>
      </c>
      <c r="I31" s="6" t="str" cm="1">
        <f t="array" aca="1" ref="I31" ca="1">IFERROR(INDEX(_xlfn._xlws.FILTER(RawData[Error Details],RawData[Error Flag]&gt;0),ROWS(I$6:I31)),"")</f>
        <v/>
      </c>
      <c r="J31" s="6" t="str" cm="1">
        <f t="array" aca="1" ref="J31" ca="1">IFERROR(INDEX(_xlfn._xlws.FILTER(RawData[Recommended Action],RawData[Error Flag]&gt;0),ROWS(J$6:J31)),"")</f>
        <v/>
      </c>
      <c r="K31" t="str" cm="1">
        <f t="array" aca="1" ref="K31" ca="1">IFERROR(INDEX(_xlfn._xlws.FILTER(RawData[Severity],RawData[Error Flag]&gt;0),ROWS(K$6:K31)),"")</f>
        <v/>
      </c>
      <c r="L31" t="str" cm="1">
        <f t="array" aca="1" ref="L31" ca="1">IFERROR(INDEX(_xlfn._xlws.FILTER(RawData[Audit Status],RawData[Error Flag]&gt;0),ROWS(L$6:L31)),"")</f>
        <v/>
      </c>
    </row>
    <row r="32" spans="1:12" x14ac:dyDescent="0.25">
      <c r="A32" t="str" cm="1">
        <f t="array" aca="1" ref="A32" ca="1">IFERROR(INDEX(_xlfn._xlws.FILTER(RawData[Project Name],RawData[Error Flag]&gt;0),ROWS(A$6:A32)),"")</f>
        <v/>
      </c>
      <c r="B32" s="1" t="str" cm="1">
        <f t="array" aca="1" ref="B32" ca="1">IFERROR(INDEX(_xlfn._xlws.FILTER(RawData[Mobile],RawData[Error Flag]&gt;0),ROWS(B$6:B32)),"")</f>
        <v/>
      </c>
      <c r="C32" t="str" cm="1">
        <f t="array" aca="1" ref="C32" ca="1">IFERROR(INDEX(_xlfn._xlws.FILTER(RawData[Telecaller Name],RawData[Error Flag]&gt;0),ROWS(C$6:C32)),"")</f>
        <v/>
      </c>
      <c r="D32" s="2" t="str" cm="1">
        <f t="array" aca="1" ref="D32" ca="1">IFERROR(INDEX(_xlfn._xlws.FILTER(RawData[Lead Registration Date],RawData[Error Flag]&gt;0),ROWS(D$6:D32)),"")</f>
        <v/>
      </c>
      <c r="E32" t="str" cm="1">
        <f t="array" aca="1" ref="E32" ca="1">IFERROR(INDEX(_xlfn._xlws.FILTER(RawData[Lead Status],RawData[Error Flag]&gt;0),ROWS(E$6:E32)),"")</f>
        <v/>
      </c>
      <c r="F32" t="str" cm="1">
        <f t="array" aca="1" ref="F32" ca="1">IFERROR(INDEX(_xlfn._xlws.FILTER(RawData[Status],RawData[Error Flag]&gt;0),ROWS(F$6:F32)),"")</f>
        <v/>
      </c>
      <c r="G32" s="6" t="str" cm="1">
        <f t="array" aca="1" ref="G32" ca="1">IFERROR(INDEX(_xlfn._xlws.FILTER(RawData[Comments],RawData[Error Flag]&gt;0),ROWS(G$6:G32)),"")</f>
        <v/>
      </c>
      <c r="H32" s="6" t="str" cm="1">
        <f t="array" aca="1" ref="H32" ca="1">IFERROR(INDEX(_xlfn._xlws.FILTER(RawData[Error Type],RawData[Error Flag]&gt;0),ROWS(H$6:H32)),"")</f>
        <v/>
      </c>
      <c r="I32" s="6" t="str" cm="1">
        <f t="array" aca="1" ref="I32" ca="1">IFERROR(INDEX(_xlfn._xlws.FILTER(RawData[Error Details],RawData[Error Flag]&gt;0),ROWS(I$6:I32)),"")</f>
        <v/>
      </c>
      <c r="J32" s="6" t="str" cm="1">
        <f t="array" aca="1" ref="J32" ca="1">IFERROR(INDEX(_xlfn._xlws.FILTER(RawData[Recommended Action],RawData[Error Flag]&gt;0),ROWS(J$6:J32)),"")</f>
        <v/>
      </c>
      <c r="K32" t="str" cm="1">
        <f t="array" aca="1" ref="K32" ca="1">IFERROR(INDEX(_xlfn._xlws.FILTER(RawData[Severity],RawData[Error Flag]&gt;0),ROWS(K$6:K32)),"")</f>
        <v/>
      </c>
      <c r="L32" t="str" cm="1">
        <f t="array" aca="1" ref="L32" ca="1">IFERROR(INDEX(_xlfn._xlws.FILTER(RawData[Audit Status],RawData[Error Flag]&gt;0),ROWS(L$6:L32)),"")</f>
        <v/>
      </c>
    </row>
    <row r="33" spans="1:12" x14ac:dyDescent="0.25">
      <c r="A33" t="str" cm="1">
        <f t="array" aca="1" ref="A33" ca="1">IFERROR(INDEX(_xlfn._xlws.FILTER(RawData[Project Name],RawData[Error Flag]&gt;0),ROWS(A$6:A33)),"")</f>
        <v/>
      </c>
      <c r="B33" s="1" t="str" cm="1">
        <f t="array" aca="1" ref="B33" ca="1">IFERROR(INDEX(_xlfn._xlws.FILTER(RawData[Mobile],RawData[Error Flag]&gt;0),ROWS(B$6:B33)),"")</f>
        <v/>
      </c>
      <c r="C33" t="str" cm="1">
        <f t="array" aca="1" ref="C33" ca="1">IFERROR(INDEX(_xlfn._xlws.FILTER(RawData[Telecaller Name],RawData[Error Flag]&gt;0),ROWS(C$6:C33)),"")</f>
        <v/>
      </c>
      <c r="D33" s="2" t="str" cm="1">
        <f t="array" aca="1" ref="D33" ca="1">IFERROR(INDEX(_xlfn._xlws.FILTER(RawData[Lead Registration Date],RawData[Error Flag]&gt;0),ROWS(D$6:D33)),"")</f>
        <v/>
      </c>
      <c r="E33" t="str" cm="1">
        <f t="array" aca="1" ref="E33" ca="1">IFERROR(INDEX(_xlfn._xlws.FILTER(RawData[Lead Status],RawData[Error Flag]&gt;0),ROWS(E$6:E33)),"")</f>
        <v/>
      </c>
      <c r="F33" t="str" cm="1">
        <f t="array" aca="1" ref="F33" ca="1">IFERROR(INDEX(_xlfn._xlws.FILTER(RawData[Status],RawData[Error Flag]&gt;0),ROWS(F$6:F33)),"")</f>
        <v/>
      </c>
      <c r="G33" s="6" t="str" cm="1">
        <f t="array" aca="1" ref="G33" ca="1">IFERROR(INDEX(_xlfn._xlws.FILTER(RawData[Comments],RawData[Error Flag]&gt;0),ROWS(G$6:G33)),"")</f>
        <v/>
      </c>
      <c r="H33" s="6" t="str" cm="1">
        <f t="array" aca="1" ref="H33" ca="1">IFERROR(INDEX(_xlfn._xlws.FILTER(RawData[Error Type],RawData[Error Flag]&gt;0),ROWS(H$6:H33)),"")</f>
        <v/>
      </c>
      <c r="I33" s="6" t="str" cm="1">
        <f t="array" aca="1" ref="I33" ca="1">IFERROR(INDEX(_xlfn._xlws.FILTER(RawData[Error Details],RawData[Error Flag]&gt;0),ROWS(I$6:I33)),"")</f>
        <v/>
      </c>
      <c r="J33" s="6" t="str" cm="1">
        <f t="array" aca="1" ref="J33" ca="1">IFERROR(INDEX(_xlfn._xlws.FILTER(RawData[Recommended Action],RawData[Error Flag]&gt;0),ROWS(J$6:J33)),"")</f>
        <v/>
      </c>
      <c r="K33" t="str" cm="1">
        <f t="array" aca="1" ref="K33" ca="1">IFERROR(INDEX(_xlfn._xlws.FILTER(RawData[Severity],RawData[Error Flag]&gt;0),ROWS(K$6:K33)),"")</f>
        <v/>
      </c>
      <c r="L33" t="str" cm="1">
        <f t="array" aca="1" ref="L33" ca="1">IFERROR(INDEX(_xlfn._xlws.FILTER(RawData[Audit Status],RawData[Error Flag]&gt;0),ROWS(L$6:L33)),"")</f>
        <v/>
      </c>
    </row>
    <row r="34" spans="1:12" x14ac:dyDescent="0.25">
      <c r="A34" t="str" cm="1">
        <f t="array" aca="1" ref="A34" ca="1">IFERROR(INDEX(_xlfn._xlws.FILTER(RawData[Project Name],RawData[Error Flag]&gt;0),ROWS(A$6:A34)),"")</f>
        <v/>
      </c>
      <c r="B34" s="1" t="str" cm="1">
        <f t="array" aca="1" ref="B34" ca="1">IFERROR(INDEX(_xlfn._xlws.FILTER(RawData[Mobile],RawData[Error Flag]&gt;0),ROWS(B$6:B34)),"")</f>
        <v/>
      </c>
      <c r="C34" t="str" cm="1">
        <f t="array" aca="1" ref="C34" ca="1">IFERROR(INDEX(_xlfn._xlws.FILTER(RawData[Telecaller Name],RawData[Error Flag]&gt;0),ROWS(C$6:C34)),"")</f>
        <v/>
      </c>
      <c r="D34" s="2" t="str" cm="1">
        <f t="array" aca="1" ref="D34" ca="1">IFERROR(INDEX(_xlfn._xlws.FILTER(RawData[Lead Registration Date],RawData[Error Flag]&gt;0),ROWS(D$6:D34)),"")</f>
        <v/>
      </c>
      <c r="E34" t="str" cm="1">
        <f t="array" aca="1" ref="E34" ca="1">IFERROR(INDEX(_xlfn._xlws.FILTER(RawData[Lead Status],RawData[Error Flag]&gt;0),ROWS(E$6:E34)),"")</f>
        <v/>
      </c>
      <c r="F34" t="str" cm="1">
        <f t="array" aca="1" ref="F34" ca="1">IFERROR(INDEX(_xlfn._xlws.FILTER(RawData[Status],RawData[Error Flag]&gt;0),ROWS(F$6:F34)),"")</f>
        <v/>
      </c>
      <c r="G34" s="6" t="str" cm="1">
        <f t="array" aca="1" ref="G34" ca="1">IFERROR(INDEX(_xlfn._xlws.FILTER(RawData[Comments],RawData[Error Flag]&gt;0),ROWS(G$6:G34)),"")</f>
        <v/>
      </c>
      <c r="H34" s="6" t="str" cm="1">
        <f t="array" aca="1" ref="H34" ca="1">IFERROR(INDEX(_xlfn._xlws.FILTER(RawData[Error Type],RawData[Error Flag]&gt;0),ROWS(H$6:H34)),"")</f>
        <v/>
      </c>
      <c r="I34" s="6" t="str" cm="1">
        <f t="array" aca="1" ref="I34" ca="1">IFERROR(INDEX(_xlfn._xlws.FILTER(RawData[Error Details],RawData[Error Flag]&gt;0),ROWS(I$6:I34)),"")</f>
        <v/>
      </c>
      <c r="J34" s="6" t="str" cm="1">
        <f t="array" aca="1" ref="J34" ca="1">IFERROR(INDEX(_xlfn._xlws.FILTER(RawData[Recommended Action],RawData[Error Flag]&gt;0),ROWS(J$6:J34)),"")</f>
        <v/>
      </c>
      <c r="K34" t="str" cm="1">
        <f t="array" aca="1" ref="K34" ca="1">IFERROR(INDEX(_xlfn._xlws.FILTER(RawData[Severity],RawData[Error Flag]&gt;0),ROWS(K$6:K34)),"")</f>
        <v/>
      </c>
      <c r="L34" t="str" cm="1">
        <f t="array" aca="1" ref="L34" ca="1">IFERROR(INDEX(_xlfn._xlws.FILTER(RawData[Audit Status],RawData[Error Flag]&gt;0),ROWS(L$6:L34)),"")</f>
        <v/>
      </c>
    </row>
    <row r="35" spans="1:12" x14ac:dyDescent="0.25">
      <c r="A35" t="str" cm="1">
        <f t="array" aca="1" ref="A35" ca="1">IFERROR(INDEX(_xlfn._xlws.FILTER(RawData[Project Name],RawData[Error Flag]&gt;0),ROWS(A$6:A35)),"")</f>
        <v/>
      </c>
      <c r="B35" s="1" t="str" cm="1">
        <f t="array" aca="1" ref="B35" ca="1">IFERROR(INDEX(_xlfn._xlws.FILTER(RawData[Mobile],RawData[Error Flag]&gt;0),ROWS(B$6:B35)),"")</f>
        <v/>
      </c>
      <c r="C35" t="str" cm="1">
        <f t="array" aca="1" ref="C35" ca="1">IFERROR(INDEX(_xlfn._xlws.FILTER(RawData[Telecaller Name],RawData[Error Flag]&gt;0),ROWS(C$6:C35)),"")</f>
        <v/>
      </c>
      <c r="D35" s="2" t="str" cm="1">
        <f t="array" aca="1" ref="D35" ca="1">IFERROR(INDEX(_xlfn._xlws.FILTER(RawData[Lead Registration Date],RawData[Error Flag]&gt;0),ROWS(D$6:D35)),"")</f>
        <v/>
      </c>
      <c r="E35" t="str" cm="1">
        <f t="array" aca="1" ref="E35" ca="1">IFERROR(INDEX(_xlfn._xlws.FILTER(RawData[Lead Status],RawData[Error Flag]&gt;0),ROWS(E$6:E35)),"")</f>
        <v/>
      </c>
      <c r="F35" t="str" cm="1">
        <f t="array" aca="1" ref="F35" ca="1">IFERROR(INDEX(_xlfn._xlws.FILTER(RawData[Status],RawData[Error Flag]&gt;0),ROWS(F$6:F35)),"")</f>
        <v/>
      </c>
      <c r="G35" s="6" t="str" cm="1">
        <f t="array" aca="1" ref="G35" ca="1">IFERROR(INDEX(_xlfn._xlws.FILTER(RawData[Comments],RawData[Error Flag]&gt;0),ROWS(G$6:G35)),"")</f>
        <v/>
      </c>
      <c r="H35" s="6" t="str" cm="1">
        <f t="array" aca="1" ref="H35" ca="1">IFERROR(INDEX(_xlfn._xlws.FILTER(RawData[Error Type],RawData[Error Flag]&gt;0),ROWS(H$6:H35)),"")</f>
        <v/>
      </c>
      <c r="I35" s="6" t="str" cm="1">
        <f t="array" aca="1" ref="I35" ca="1">IFERROR(INDEX(_xlfn._xlws.FILTER(RawData[Error Details],RawData[Error Flag]&gt;0),ROWS(I$6:I35)),"")</f>
        <v/>
      </c>
      <c r="J35" s="6" t="str" cm="1">
        <f t="array" aca="1" ref="J35" ca="1">IFERROR(INDEX(_xlfn._xlws.FILTER(RawData[Recommended Action],RawData[Error Flag]&gt;0),ROWS(J$6:J35)),"")</f>
        <v/>
      </c>
      <c r="K35" t="str" cm="1">
        <f t="array" aca="1" ref="K35" ca="1">IFERROR(INDEX(_xlfn._xlws.FILTER(RawData[Severity],RawData[Error Flag]&gt;0),ROWS(K$6:K35)),"")</f>
        <v/>
      </c>
      <c r="L35" t="str" cm="1">
        <f t="array" aca="1" ref="L35" ca="1">IFERROR(INDEX(_xlfn._xlws.FILTER(RawData[Audit Status],RawData[Error Flag]&gt;0),ROWS(L$6:L35)),"")</f>
        <v/>
      </c>
    </row>
    <row r="36" spans="1:12" x14ac:dyDescent="0.25">
      <c r="A36" t="str" cm="1">
        <f t="array" aca="1" ref="A36" ca="1">IFERROR(INDEX(_xlfn._xlws.FILTER(RawData[Project Name],RawData[Error Flag]&gt;0),ROWS(A$6:A36)),"")</f>
        <v/>
      </c>
      <c r="B36" s="1" t="str" cm="1">
        <f t="array" aca="1" ref="B36" ca="1">IFERROR(INDEX(_xlfn._xlws.FILTER(RawData[Mobile],RawData[Error Flag]&gt;0),ROWS(B$6:B36)),"")</f>
        <v/>
      </c>
      <c r="C36" t="str" cm="1">
        <f t="array" aca="1" ref="C36" ca="1">IFERROR(INDEX(_xlfn._xlws.FILTER(RawData[Telecaller Name],RawData[Error Flag]&gt;0),ROWS(C$6:C36)),"")</f>
        <v/>
      </c>
      <c r="D36" s="2" t="str" cm="1">
        <f t="array" aca="1" ref="D36" ca="1">IFERROR(INDEX(_xlfn._xlws.FILTER(RawData[Lead Registration Date],RawData[Error Flag]&gt;0),ROWS(D$6:D36)),"")</f>
        <v/>
      </c>
      <c r="E36" t="str" cm="1">
        <f t="array" aca="1" ref="E36" ca="1">IFERROR(INDEX(_xlfn._xlws.FILTER(RawData[Lead Status],RawData[Error Flag]&gt;0),ROWS(E$6:E36)),"")</f>
        <v/>
      </c>
      <c r="F36" t="str" cm="1">
        <f t="array" aca="1" ref="F36" ca="1">IFERROR(INDEX(_xlfn._xlws.FILTER(RawData[Status],RawData[Error Flag]&gt;0),ROWS(F$6:F36)),"")</f>
        <v/>
      </c>
      <c r="G36" s="6" t="str" cm="1">
        <f t="array" aca="1" ref="G36" ca="1">IFERROR(INDEX(_xlfn._xlws.FILTER(RawData[Comments],RawData[Error Flag]&gt;0),ROWS(G$6:G36)),"")</f>
        <v/>
      </c>
      <c r="H36" s="6" t="str" cm="1">
        <f t="array" aca="1" ref="H36" ca="1">IFERROR(INDEX(_xlfn._xlws.FILTER(RawData[Error Type],RawData[Error Flag]&gt;0),ROWS(H$6:H36)),"")</f>
        <v/>
      </c>
      <c r="I36" s="6" t="str" cm="1">
        <f t="array" aca="1" ref="I36" ca="1">IFERROR(INDEX(_xlfn._xlws.FILTER(RawData[Error Details],RawData[Error Flag]&gt;0),ROWS(I$6:I36)),"")</f>
        <v/>
      </c>
      <c r="J36" s="6" t="str" cm="1">
        <f t="array" aca="1" ref="J36" ca="1">IFERROR(INDEX(_xlfn._xlws.FILTER(RawData[Recommended Action],RawData[Error Flag]&gt;0),ROWS(J$6:J36)),"")</f>
        <v/>
      </c>
      <c r="K36" t="str" cm="1">
        <f t="array" aca="1" ref="K36" ca="1">IFERROR(INDEX(_xlfn._xlws.FILTER(RawData[Severity],RawData[Error Flag]&gt;0),ROWS(K$6:K36)),"")</f>
        <v/>
      </c>
      <c r="L36" t="str" cm="1">
        <f t="array" aca="1" ref="L36" ca="1">IFERROR(INDEX(_xlfn._xlws.FILTER(RawData[Audit Status],RawData[Error Flag]&gt;0),ROWS(L$6:L36)),"")</f>
        <v/>
      </c>
    </row>
    <row r="37" spans="1:12" x14ac:dyDescent="0.25">
      <c r="A37" t="str" cm="1">
        <f t="array" aca="1" ref="A37" ca="1">IFERROR(INDEX(_xlfn._xlws.FILTER(RawData[Project Name],RawData[Error Flag]&gt;0),ROWS(A$6:A37)),"")</f>
        <v/>
      </c>
      <c r="B37" s="1" t="str" cm="1">
        <f t="array" aca="1" ref="B37" ca="1">IFERROR(INDEX(_xlfn._xlws.FILTER(RawData[Mobile],RawData[Error Flag]&gt;0),ROWS(B$6:B37)),"")</f>
        <v/>
      </c>
      <c r="C37" t="str" cm="1">
        <f t="array" aca="1" ref="C37" ca="1">IFERROR(INDEX(_xlfn._xlws.FILTER(RawData[Telecaller Name],RawData[Error Flag]&gt;0),ROWS(C$6:C37)),"")</f>
        <v/>
      </c>
      <c r="D37" s="2" t="str" cm="1">
        <f t="array" aca="1" ref="D37" ca="1">IFERROR(INDEX(_xlfn._xlws.FILTER(RawData[Lead Registration Date],RawData[Error Flag]&gt;0),ROWS(D$6:D37)),"")</f>
        <v/>
      </c>
      <c r="E37" t="str" cm="1">
        <f t="array" aca="1" ref="E37" ca="1">IFERROR(INDEX(_xlfn._xlws.FILTER(RawData[Lead Status],RawData[Error Flag]&gt;0),ROWS(E$6:E37)),"")</f>
        <v/>
      </c>
      <c r="F37" t="str" cm="1">
        <f t="array" aca="1" ref="F37" ca="1">IFERROR(INDEX(_xlfn._xlws.FILTER(RawData[Status],RawData[Error Flag]&gt;0),ROWS(F$6:F37)),"")</f>
        <v/>
      </c>
      <c r="G37" s="6" t="str" cm="1">
        <f t="array" aca="1" ref="G37" ca="1">IFERROR(INDEX(_xlfn._xlws.FILTER(RawData[Comments],RawData[Error Flag]&gt;0),ROWS(G$6:G37)),"")</f>
        <v/>
      </c>
      <c r="H37" s="6" t="str" cm="1">
        <f t="array" aca="1" ref="H37" ca="1">IFERROR(INDEX(_xlfn._xlws.FILTER(RawData[Error Type],RawData[Error Flag]&gt;0),ROWS(H$6:H37)),"")</f>
        <v/>
      </c>
      <c r="I37" s="6" t="str" cm="1">
        <f t="array" aca="1" ref="I37" ca="1">IFERROR(INDEX(_xlfn._xlws.FILTER(RawData[Error Details],RawData[Error Flag]&gt;0),ROWS(I$6:I37)),"")</f>
        <v/>
      </c>
      <c r="J37" s="6" t="str" cm="1">
        <f t="array" aca="1" ref="J37" ca="1">IFERROR(INDEX(_xlfn._xlws.FILTER(RawData[Recommended Action],RawData[Error Flag]&gt;0),ROWS(J$6:J37)),"")</f>
        <v/>
      </c>
      <c r="K37" t="str" cm="1">
        <f t="array" aca="1" ref="K37" ca="1">IFERROR(INDEX(_xlfn._xlws.FILTER(RawData[Severity],RawData[Error Flag]&gt;0),ROWS(K$6:K37)),"")</f>
        <v/>
      </c>
      <c r="L37" t="str" cm="1">
        <f t="array" aca="1" ref="L37" ca="1">IFERROR(INDEX(_xlfn._xlws.FILTER(RawData[Audit Status],RawData[Error Flag]&gt;0),ROWS(L$6:L37)),"")</f>
        <v/>
      </c>
    </row>
    <row r="38" spans="1:12" x14ac:dyDescent="0.25">
      <c r="A38" t="str" cm="1">
        <f t="array" aca="1" ref="A38" ca="1">IFERROR(INDEX(_xlfn._xlws.FILTER(RawData[Project Name],RawData[Error Flag]&gt;0),ROWS(A$6:A38)),"")</f>
        <v/>
      </c>
      <c r="B38" s="1" t="str" cm="1">
        <f t="array" aca="1" ref="B38" ca="1">IFERROR(INDEX(_xlfn._xlws.FILTER(RawData[Mobile],RawData[Error Flag]&gt;0),ROWS(B$6:B38)),"")</f>
        <v/>
      </c>
      <c r="C38" t="str" cm="1">
        <f t="array" aca="1" ref="C38" ca="1">IFERROR(INDEX(_xlfn._xlws.FILTER(RawData[Telecaller Name],RawData[Error Flag]&gt;0),ROWS(C$6:C38)),"")</f>
        <v/>
      </c>
      <c r="D38" s="2" t="str" cm="1">
        <f t="array" aca="1" ref="D38" ca="1">IFERROR(INDEX(_xlfn._xlws.FILTER(RawData[Lead Registration Date],RawData[Error Flag]&gt;0),ROWS(D$6:D38)),"")</f>
        <v/>
      </c>
      <c r="E38" t="str" cm="1">
        <f t="array" aca="1" ref="E38" ca="1">IFERROR(INDEX(_xlfn._xlws.FILTER(RawData[Lead Status],RawData[Error Flag]&gt;0),ROWS(E$6:E38)),"")</f>
        <v/>
      </c>
      <c r="F38" t="str" cm="1">
        <f t="array" aca="1" ref="F38" ca="1">IFERROR(INDEX(_xlfn._xlws.FILTER(RawData[Status],RawData[Error Flag]&gt;0),ROWS(F$6:F38)),"")</f>
        <v/>
      </c>
      <c r="G38" s="6" t="str" cm="1">
        <f t="array" aca="1" ref="G38" ca="1">IFERROR(INDEX(_xlfn._xlws.FILTER(RawData[Comments],RawData[Error Flag]&gt;0),ROWS(G$6:G38)),"")</f>
        <v/>
      </c>
      <c r="H38" s="6" t="str" cm="1">
        <f t="array" aca="1" ref="H38" ca="1">IFERROR(INDEX(_xlfn._xlws.FILTER(RawData[Error Type],RawData[Error Flag]&gt;0),ROWS(H$6:H38)),"")</f>
        <v/>
      </c>
      <c r="I38" s="6" t="str" cm="1">
        <f t="array" aca="1" ref="I38" ca="1">IFERROR(INDEX(_xlfn._xlws.FILTER(RawData[Error Details],RawData[Error Flag]&gt;0),ROWS(I$6:I38)),"")</f>
        <v/>
      </c>
      <c r="J38" s="6" t="str" cm="1">
        <f t="array" aca="1" ref="J38" ca="1">IFERROR(INDEX(_xlfn._xlws.FILTER(RawData[Recommended Action],RawData[Error Flag]&gt;0),ROWS(J$6:J38)),"")</f>
        <v/>
      </c>
      <c r="K38" t="str" cm="1">
        <f t="array" aca="1" ref="K38" ca="1">IFERROR(INDEX(_xlfn._xlws.FILTER(RawData[Severity],RawData[Error Flag]&gt;0),ROWS(K$6:K38)),"")</f>
        <v/>
      </c>
      <c r="L38" t="str" cm="1">
        <f t="array" aca="1" ref="L38" ca="1">IFERROR(INDEX(_xlfn._xlws.FILTER(RawData[Audit Status],RawData[Error Flag]&gt;0),ROWS(L$6:L38)),"")</f>
        <v/>
      </c>
    </row>
    <row r="39" spans="1:12" x14ac:dyDescent="0.25">
      <c r="A39" t="str" cm="1">
        <f t="array" aca="1" ref="A39" ca="1">IFERROR(INDEX(_xlfn._xlws.FILTER(RawData[Project Name],RawData[Error Flag]&gt;0),ROWS(A$6:A39)),"")</f>
        <v/>
      </c>
      <c r="B39" s="1" t="str" cm="1">
        <f t="array" aca="1" ref="B39" ca="1">IFERROR(INDEX(_xlfn._xlws.FILTER(RawData[Mobile],RawData[Error Flag]&gt;0),ROWS(B$6:B39)),"")</f>
        <v/>
      </c>
      <c r="C39" t="str" cm="1">
        <f t="array" aca="1" ref="C39" ca="1">IFERROR(INDEX(_xlfn._xlws.FILTER(RawData[Telecaller Name],RawData[Error Flag]&gt;0),ROWS(C$6:C39)),"")</f>
        <v/>
      </c>
      <c r="D39" s="2" t="str" cm="1">
        <f t="array" aca="1" ref="D39" ca="1">IFERROR(INDEX(_xlfn._xlws.FILTER(RawData[Lead Registration Date],RawData[Error Flag]&gt;0),ROWS(D$6:D39)),"")</f>
        <v/>
      </c>
      <c r="E39" t="str" cm="1">
        <f t="array" aca="1" ref="E39" ca="1">IFERROR(INDEX(_xlfn._xlws.FILTER(RawData[Lead Status],RawData[Error Flag]&gt;0),ROWS(E$6:E39)),"")</f>
        <v/>
      </c>
      <c r="F39" t="str" cm="1">
        <f t="array" aca="1" ref="F39" ca="1">IFERROR(INDEX(_xlfn._xlws.FILTER(RawData[Status],RawData[Error Flag]&gt;0),ROWS(F$6:F39)),"")</f>
        <v/>
      </c>
      <c r="G39" s="6" t="str" cm="1">
        <f t="array" aca="1" ref="G39" ca="1">IFERROR(INDEX(_xlfn._xlws.FILTER(RawData[Comments],RawData[Error Flag]&gt;0),ROWS(G$6:G39)),"")</f>
        <v/>
      </c>
      <c r="H39" s="6" t="str" cm="1">
        <f t="array" aca="1" ref="H39" ca="1">IFERROR(INDEX(_xlfn._xlws.FILTER(RawData[Error Type],RawData[Error Flag]&gt;0),ROWS(H$6:H39)),"")</f>
        <v/>
      </c>
      <c r="I39" s="6" t="str" cm="1">
        <f t="array" aca="1" ref="I39" ca="1">IFERROR(INDEX(_xlfn._xlws.FILTER(RawData[Error Details],RawData[Error Flag]&gt;0),ROWS(I$6:I39)),"")</f>
        <v/>
      </c>
      <c r="J39" s="6" t="str" cm="1">
        <f t="array" aca="1" ref="J39" ca="1">IFERROR(INDEX(_xlfn._xlws.FILTER(RawData[Recommended Action],RawData[Error Flag]&gt;0),ROWS(J$6:J39)),"")</f>
        <v/>
      </c>
      <c r="K39" t="str" cm="1">
        <f t="array" aca="1" ref="K39" ca="1">IFERROR(INDEX(_xlfn._xlws.FILTER(RawData[Severity],RawData[Error Flag]&gt;0),ROWS(K$6:K39)),"")</f>
        <v/>
      </c>
      <c r="L39" t="str" cm="1">
        <f t="array" aca="1" ref="L39" ca="1">IFERROR(INDEX(_xlfn._xlws.FILTER(RawData[Audit Status],RawData[Error Flag]&gt;0),ROWS(L$6:L39)),"")</f>
        <v/>
      </c>
    </row>
    <row r="40" spans="1:12" x14ac:dyDescent="0.25">
      <c r="A40" t="str" cm="1">
        <f t="array" aca="1" ref="A40" ca="1">IFERROR(INDEX(_xlfn._xlws.FILTER(RawData[Project Name],RawData[Error Flag]&gt;0),ROWS(A$6:A40)),"")</f>
        <v/>
      </c>
      <c r="B40" s="1" t="str" cm="1">
        <f t="array" aca="1" ref="B40" ca="1">IFERROR(INDEX(_xlfn._xlws.FILTER(RawData[Mobile],RawData[Error Flag]&gt;0),ROWS(B$6:B40)),"")</f>
        <v/>
      </c>
      <c r="C40" t="str" cm="1">
        <f t="array" aca="1" ref="C40" ca="1">IFERROR(INDEX(_xlfn._xlws.FILTER(RawData[Telecaller Name],RawData[Error Flag]&gt;0),ROWS(C$6:C40)),"")</f>
        <v/>
      </c>
      <c r="D40" s="2" t="str" cm="1">
        <f t="array" aca="1" ref="D40" ca="1">IFERROR(INDEX(_xlfn._xlws.FILTER(RawData[Lead Registration Date],RawData[Error Flag]&gt;0),ROWS(D$6:D40)),"")</f>
        <v/>
      </c>
      <c r="E40" t="str" cm="1">
        <f t="array" aca="1" ref="E40" ca="1">IFERROR(INDEX(_xlfn._xlws.FILTER(RawData[Lead Status],RawData[Error Flag]&gt;0),ROWS(E$6:E40)),"")</f>
        <v/>
      </c>
      <c r="F40" t="str" cm="1">
        <f t="array" aca="1" ref="F40" ca="1">IFERROR(INDEX(_xlfn._xlws.FILTER(RawData[Status],RawData[Error Flag]&gt;0),ROWS(F$6:F40)),"")</f>
        <v/>
      </c>
      <c r="G40" s="6" t="str" cm="1">
        <f t="array" aca="1" ref="G40" ca="1">IFERROR(INDEX(_xlfn._xlws.FILTER(RawData[Comments],RawData[Error Flag]&gt;0),ROWS(G$6:G40)),"")</f>
        <v/>
      </c>
      <c r="H40" s="6" t="str" cm="1">
        <f t="array" aca="1" ref="H40" ca="1">IFERROR(INDEX(_xlfn._xlws.FILTER(RawData[Error Type],RawData[Error Flag]&gt;0),ROWS(H$6:H40)),"")</f>
        <v/>
      </c>
      <c r="I40" s="6" t="str" cm="1">
        <f t="array" aca="1" ref="I40" ca="1">IFERROR(INDEX(_xlfn._xlws.FILTER(RawData[Error Details],RawData[Error Flag]&gt;0),ROWS(I$6:I40)),"")</f>
        <v/>
      </c>
      <c r="J40" s="6" t="str" cm="1">
        <f t="array" aca="1" ref="J40" ca="1">IFERROR(INDEX(_xlfn._xlws.FILTER(RawData[Recommended Action],RawData[Error Flag]&gt;0),ROWS(J$6:J40)),"")</f>
        <v/>
      </c>
      <c r="K40" t="str" cm="1">
        <f t="array" aca="1" ref="K40" ca="1">IFERROR(INDEX(_xlfn._xlws.FILTER(RawData[Severity],RawData[Error Flag]&gt;0),ROWS(K$6:K40)),"")</f>
        <v/>
      </c>
      <c r="L40" t="str" cm="1">
        <f t="array" aca="1" ref="L40" ca="1">IFERROR(INDEX(_xlfn._xlws.FILTER(RawData[Audit Status],RawData[Error Flag]&gt;0),ROWS(L$6:L40)),"")</f>
        <v/>
      </c>
    </row>
    <row r="41" spans="1:12" x14ac:dyDescent="0.25">
      <c r="A41" t="str" cm="1">
        <f t="array" aca="1" ref="A41" ca="1">IFERROR(INDEX(_xlfn._xlws.FILTER(RawData[Project Name],RawData[Error Flag]&gt;0),ROWS(A$6:A41)),"")</f>
        <v/>
      </c>
      <c r="B41" s="1" t="str" cm="1">
        <f t="array" aca="1" ref="B41" ca="1">IFERROR(INDEX(_xlfn._xlws.FILTER(RawData[Mobile],RawData[Error Flag]&gt;0),ROWS(B$6:B41)),"")</f>
        <v/>
      </c>
      <c r="C41" t="str" cm="1">
        <f t="array" aca="1" ref="C41" ca="1">IFERROR(INDEX(_xlfn._xlws.FILTER(RawData[Telecaller Name],RawData[Error Flag]&gt;0),ROWS(C$6:C41)),"")</f>
        <v/>
      </c>
      <c r="D41" s="2" t="str" cm="1">
        <f t="array" aca="1" ref="D41" ca="1">IFERROR(INDEX(_xlfn._xlws.FILTER(RawData[Lead Registration Date],RawData[Error Flag]&gt;0),ROWS(D$6:D41)),"")</f>
        <v/>
      </c>
      <c r="E41" t="str" cm="1">
        <f t="array" aca="1" ref="E41" ca="1">IFERROR(INDEX(_xlfn._xlws.FILTER(RawData[Lead Status],RawData[Error Flag]&gt;0),ROWS(E$6:E41)),"")</f>
        <v/>
      </c>
      <c r="F41" t="str" cm="1">
        <f t="array" aca="1" ref="F41" ca="1">IFERROR(INDEX(_xlfn._xlws.FILTER(RawData[Status],RawData[Error Flag]&gt;0),ROWS(F$6:F41)),"")</f>
        <v/>
      </c>
      <c r="G41" s="6" t="str" cm="1">
        <f t="array" aca="1" ref="G41" ca="1">IFERROR(INDEX(_xlfn._xlws.FILTER(RawData[Comments],RawData[Error Flag]&gt;0),ROWS(G$6:G41)),"")</f>
        <v/>
      </c>
      <c r="H41" s="6" t="str" cm="1">
        <f t="array" aca="1" ref="H41" ca="1">IFERROR(INDEX(_xlfn._xlws.FILTER(RawData[Error Type],RawData[Error Flag]&gt;0),ROWS(H$6:H41)),"")</f>
        <v/>
      </c>
      <c r="I41" s="6" t="str" cm="1">
        <f t="array" aca="1" ref="I41" ca="1">IFERROR(INDEX(_xlfn._xlws.FILTER(RawData[Error Details],RawData[Error Flag]&gt;0),ROWS(I$6:I41)),"")</f>
        <v/>
      </c>
      <c r="J41" s="6" t="str" cm="1">
        <f t="array" aca="1" ref="J41" ca="1">IFERROR(INDEX(_xlfn._xlws.FILTER(RawData[Recommended Action],RawData[Error Flag]&gt;0),ROWS(J$6:J41)),"")</f>
        <v/>
      </c>
      <c r="K41" t="str" cm="1">
        <f t="array" aca="1" ref="K41" ca="1">IFERROR(INDEX(_xlfn._xlws.FILTER(RawData[Severity],RawData[Error Flag]&gt;0),ROWS(K$6:K41)),"")</f>
        <v/>
      </c>
      <c r="L41" t="str" cm="1">
        <f t="array" aca="1" ref="L41" ca="1">IFERROR(INDEX(_xlfn._xlws.FILTER(RawData[Audit Status],RawData[Error Flag]&gt;0),ROWS(L$6:L41)),"")</f>
        <v/>
      </c>
    </row>
    <row r="42" spans="1:12" x14ac:dyDescent="0.25">
      <c r="A42" t="str" cm="1">
        <f t="array" aca="1" ref="A42" ca="1">IFERROR(INDEX(_xlfn._xlws.FILTER(RawData[Project Name],RawData[Error Flag]&gt;0),ROWS(A$6:A42)),"")</f>
        <v/>
      </c>
      <c r="B42" s="1" t="str" cm="1">
        <f t="array" aca="1" ref="B42" ca="1">IFERROR(INDEX(_xlfn._xlws.FILTER(RawData[Mobile],RawData[Error Flag]&gt;0),ROWS(B$6:B42)),"")</f>
        <v/>
      </c>
      <c r="C42" t="str" cm="1">
        <f t="array" aca="1" ref="C42" ca="1">IFERROR(INDEX(_xlfn._xlws.FILTER(RawData[Telecaller Name],RawData[Error Flag]&gt;0),ROWS(C$6:C42)),"")</f>
        <v/>
      </c>
      <c r="D42" s="2" t="str" cm="1">
        <f t="array" aca="1" ref="D42" ca="1">IFERROR(INDEX(_xlfn._xlws.FILTER(RawData[Lead Registration Date],RawData[Error Flag]&gt;0),ROWS(D$6:D42)),"")</f>
        <v/>
      </c>
      <c r="E42" t="str" cm="1">
        <f t="array" aca="1" ref="E42" ca="1">IFERROR(INDEX(_xlfn._xlws.FILTER(RawData[Lead Status],RawData[Error Flag]&gt;0),ROWS(E$6:E42)),"")</f>
        <v/>
      </c>
      <c r="F42" t="str" cm="1">
        <f t="array" aca="1" ref="F42" ca="1">IFERROR(INDEX(_xlfn._xlws.FILTER(RawData[Status],RawData[Error Flag]&gt;0),ROWS(F$6:F42)),"")</f>
        <v/>
      </c>
      <c r="G42" s="6" t="str" cm="1">
        <f t="array" aca="1" ref="G42" ca="1">IFERROR(INDEX(_xlfn._xlws.FILTER(RawData[Comments],RawData[Error Flag]&gt;0),ROWS(G$6:G42)),"")</f>
        <v/>
      </c>
      <c r="H42" s="6" t="str" cm="1">
        <f t="array" aca="1" ref="H42" ca="1">IFERROR(INDEX(_xlfn._xlws.FILTER(RawData[Error Type],RawData[Error Flag]&gt;0),ROWS(H$6:H42)),"")</f>
        <v/>
      </c>
      <c r="I42" s="6" t="str" cm="1">
        <f t="array" aca="1" ref="I42" ca="1">IFERROR(INDEX(_xlfn._xlws.FILTER(RawData[Error Details],RawData[Error Flag]&gt;0),ROWS(I$6:I42)),"")</f>
        <v/>
      </c>
      <c r="J42" s="6" t="str" cm="1">
        <f t="array" aca="1" ref="J42" ca="1">IFERROR(INDEX(_xlfn._xlws.FILTER(RawData[Recommended Action],RawData[Error Flag]&gt;0),ROWS(J$6:J42)),"")</f>
        <v/>
      </c>
      <c r="K42" t="str" cm="1">
        <f t="array" aca="1" ref="K42" ca="1">IFERROR(INDEX(_xlfn._xlws.FILTER(RawData[Severity],RawData[Error Flag]&gt;0),ROWS(K$6:K42)),"")</f>
        <v/>
      </c>
      <c r="L42" t="str" cm="1">
        <f t="array" aca="1" ref="L42" ca="1">IFERROR(INDEX(_xlfn._xlws.FILTER(RawData[Audit Status],RawData[Error Flag]&gt;0),ROWS(L$6:L42)),"")</f>
        <v/>
      </c>
    </row>
    <row r="43" spans="1:12" x14ac:dyDescent="0.25">
      <c r="A43" t="str" cm="1">
        <f t="array" aca="1" ref="A43" ca="1">IFERROR(INDEX(_xlfn._xlws.FILTER(RawData[Project Name],RawData[Error Flag]&gt;0),ROWS(A$6:A43)),"")</f>
        <v/>
      </c>
      <c r="B43" s="1" t="str" cm="1">
        <f t="array" aca="1" ref="B43" ca="1">IFERROR(INDEX(_xlfn._xlws.FILTER(RawData[Mobile],RawData[Error Flag]&gt;0),ROWS(B$6:B43)),"")</f>
        <v/>
      </c>
      <c r="C43" t="str" cm="1">
        <f t="array" aca="1" ref="C43" ca="1">IFERROR(INDEX(_xlfn._xlws.FILTER(RawData[Telecaller Name],RawData[Error Flag]&gt;0),ROWS(C$6:C43)),"")</f>
        <v/>
      </c>
      <c r="D43" s="2" t="str" cm="1">
        <f t="array" aca="1" ref="D43" ca="1">IFERROR(INDEX(_xlfn._xlws.FILTER(RawData[Lead Registration Date],RawData[Error Flag]&gt;0),ROWS(D$6:D43)),"")</f>
        <v/>
      </c>
      <c r="E43" t="str" cm="1">
        <f t="array" aca="1" ref="E43" ca="1">IFERROR(INDEX(_xlfn._xlws.FILTER(RawData[Lead Status],RawData[Error Flag]&gt;0),ROWS(E$6:E43)),"")</f>
        <v/>
      </c>
      <c r="F43" t="str" cm="1">
        <f t="array" aca="1" ref="F43" ca="1">IFERROR(INDEX(_xlfn._xlws.FILTER(RawData[Status],RawData[Error Flag]&gt;0),ROWS(F$6:F43)),"")</f>
        <v/>
      </c>
      <c r="G43" s="6" t="str" cm="1">
        <f t="array" aca="1" ref="G43" ca="1">IFERROR(INDEX(_xlfn._xlws.FILTER(RawData[Comments],RawData[Error Flag]&gt;0),ROWS(G$6:G43)),"")</f>
        <v/>
      </c>
      <c r="H43" s="6" t="str" cm="1">
        <f t="array" aca="1" ref="H43" ca="1">IFERROR(INDEX(_xlfn._xlws.FILTER(RawData[Error Type],RawData[Error Flag]&gt;0),ROWS(H$6:H43)),"")</f>
        <v/>
      </c>
      <c r="I43" s="6" t="str" cm="1">
        <f t="array" aca="1" ref="I43" ca="1">IFERROR(INDEX(_xlfn._xlws.FILTER(RawData[Error Details],RawData[Error Flag]&gt;0),ROWS(I$6:I43)),"")</f>
        <v/>
      </c>
      <c r="J43" s="6" t="str" cm="1">
        <f t="array" aca="1" ref="J43" ca="1">IFERROR(INDEX(_xlfn._xlws.FILTER(RawData[Recommended Action],RawData[Error Flag]&gt;0),ROWS(J$6:J43)),"")</f>
        <v/>
      </c>
      <c r="K43" t="str" cm="1">
        <f t="array" aca="1" ref="K43" ca="1">IFERROR(INDEX(_xlfn._xlws.FILTER(RawData[Severity],RawData[Error Flag]&gt;0),ROWS(K$6:K43)),"")</f>
        <v/>
      </c>
      <c r="L43" t="str" cm="1">
        <f t="array" aca="1" ref="L43" ca="1">IFERROR(INDEX(_xlfn._xlws.FILTER(RawData[Audit Status],RawData[Error Flag]&gt;0),ROWS(L$6:L43)),"")</f>
        <v/>
      </c>
    </row>
    <row r="44" spans="1:12" x14ac:dyDescent="0.25">
      <c r="A44" t="str" cm="1">
        <f t="array" aca="1" ref="A44" ca="1">IFERROR(INDEX(_xlfn._xlws.FILTER(RawData[Project Name],RawData[Error Flag]&gt;0),ROWS(A$6:A44)),"")</f>
        <v/>
      </c>
      <c r="B44" s="1" t="str" cm="1">
        <f t="array" aca="1" ref="B44" ca="1">IFERROR(INDEX(_xlfn._xlws.FILTER(RawData[Mobile],RawData[Error Flag]&gt;0),ROWS(B$6:B44)),"")</f>
        <v/>
      </c>
      <c r="C44" t="str" cm="1">
        <f t="array" aca="1" ref="C44" ca="1">IFERROR(INDEX(_xlfn._xlws.FILTER(RawData[Telecaller Name],RawData[Error Flag]&gt;0),ROWS(C$6:C44)),"")</f>
        <v/>
      </c>
      <c r="D44" s="2" t="str" cm="1">
        <f t="array" aca="1" ref="D44" ca="1">IFERROR(INDEX(_xlfn._xlws.FILTER(RawData[Lead Registration Date],RawData[Error Flag]&gt;0),ROWS(D$6:D44)),"")</f>
        <v/>
      </c>
      <c r="E44" t="str" cm="1">
        <f t="array" aca="1" ref="E44" ca="1">IFERROR(INDEX(_xlfn._xlws.FILTER(RawData[Lead Status],RawData[Error Flag]&gt;0),ROWS(E$6:E44)),"")</f>
        <v/>
      </c>
      <c r="F44" t="str" cm="1">
        <f t="array" aca="1" ref="F44" ca="1">IFERROR(INDEX(_xlfn._xlws.FILTER(RawData[Status],RawData[Error Flag]&gt;0),ROWS(F$6:F44)),"")</f>
        <v/>
      </c>
      <c r="G44" s="6" t="str" cm="1">
        <f t="array" aca="1" ref="G44" ca="1">IFERROR(INDEX(_xlfn._xlws.FILTER(RawData[Comments],RawData[Error Flag]&gt;0),ROWS(G$6:G44)),"")</f>
        <v/>
      </c>
      <c r="H44" s="6" t="str" cm="1">
        <f t="array" aca="1" ref="H44" ca="1">IFERROR(INDEX(_xlfn._xlws.FILTER(RawData[Error Type],RawData[Error Flag]&gt;0),ROWS(H$6:H44)),"")</f>
        <v/>
      </c>
      <c r="I44" s="6" t="str" cm="1">
        <f t="array" aca="1" ref="I44" ca="1">IFERROR(INDEX(_xlfn._xlws.FILTER(RawData[Error Details],RawData[Error Flag]&gt;0),ROWS(I$6:I44)),"")</f>
        <v/>
      </c>
      <c r="J44" s="6" t="str" cm="1">
        <f t="array" aca="1" ref="J44" ca="1">IFERROR(INDEX(_xlfn._xlws.FILTER(RawData[Recommended Action],RawData[Error Flag]&gt;0),ROWS(J$6:J44)),"")</f>
        <v/>
      </c>
      <c r="K44" t="str" cm="1">
        <f t="array" aca="1" ref="K44" ca="1">IFERROR(INDEX(_xlfn._xlws.FILTER(RawData[Severity],RawData[Error Flag]&gt;0),ROWS(K$6:K44)),"")</f>
        <v/>
      </c>
      <c r="L44" t="str" cm="1">
        <f t="array" aca="1" ref="L44" ca="1">IFERROR(INDEX(_xlfn._xlws.FILTER(RawData[Audit Status],RawData[Error Flag]&gt;0),ROWS(L$6:L44)),"")</f>
        <v/>
      </c>
    </row>
    <row r="45" spans="1:12" x14ac:dyDescent="0.25">
      <c r="A45" t="str" cm="1">
        <f t="array" aca="1" ref="A45" ca="1">IFERROR(INDEX(_xlfn._xlws.FILTER(RawData[Project Name],RawData[Error Flag]&gt;0),ROWS(A$6:A45)),"")</f>
        <v/>
      </c>
      <c r="B45" s="1" t="str" cm="1">
        <f t="array" aca="1" ref="B45" ca="1">IFERROR(INDEX(_xlfn._xlws.FILTER(RawData[Mobile],RawData[Error Flag]&gt;0),ROWS(B$6:B45)),"")</f>
        <v/>
      </c>
      <c r="C45" t="str" cm="1">
        <f t="array" aca="1" ref="C45" ca="1">IFERROR(INDEX(_xlfn._xlws.FILTER(RawData[Telecaller Name],RawData[Error Flag]&gt;0),ROWS(C$6:C45)),"")</f>
        <v/>
      </c>
      <c r="D45" s="2" t="str" cm="1">
        <f t="array" aca="1" ref="D45" ca="1">IFERROR(INDEX(_xlfn._xlws.FILTER(RawData[Lead Registration Date],RawData[Error Flag]&gt;0),ROWS(D$6:D45)),"")</f>
        <v/>
      </c>
      <c r="E45" t="str" cm="1">
        <f t="array" aca="1" ref="E45" ca="1">IFERROR(INDEX(_xlfn._xlws.FILTER(RawData[Lead Status],RawData[Error Flag]&gt;0),ROWS(E$6:E45)),"")</f>
        <v/>
      </c>
      <c r="F45" t="str" cm="1">
        <f t="array" aca="1" ref="F45" ca="1">IFERROR(INDEX(_xlfn._xlws.FILTER(RawData[Status],RawData[Error Flag]&gt;0),ROWS(F$6:F45)),"")</f>
        <v/>
      </c>
      <c r="G45" s="6" t="str" cm="1">
        <f t="array" aca="1" ref="G45" ca="1">IFERROR(INDEX(_xlfn._xlws.FILTER(RawData[Comments],RawData[Error Flag]&gt;0),ROWS(G$6:G45)),"")</f>
        <v/>
      </c>
      <c r="H45" s="6" t="str" cm="1">
        <f t="array" aca="1" ref="H45" ca="1">IFERROR(INDEX(_xlfn._xlws.FILTER(RawData[Error Type],RawData[Error Flag]&gt;0),ROWS(H$6:H45)),"")</f>
        <v/>
      </c>
      <c r="I45" s="6" t="str" cm="1">
        <f t="array" aca="1" ref="I45" ca="1">IFERROR(INDEX(_xlfn._xlws.FILTER(RawData[Error Details],RawData[Error Flag]&gt;0),ROWS(I$6:I45)),"")</f>
        <v/>
      </c>
      <c r="J45" s="6" t="str" cm="1">
        <f t="array" aca="1" ref="J45" ca="1">IFERROR(INDEX(_xlfn._xlws.FILTER(RawData[Recommended Action],RawData[Error Flag]&gt;0),ROWS(J$6:J45)),"")</f>
        <v/>
      </c>
      <c r="K45" t="str" cm="1">
        <f t="array" aca="1" ref="K45" ca="1">IFERROR(INDEX(_xlfn._xlws.FILTER(RawData[Severity],RawData[Error Flag]&gt;0),ROWS(K$6:K45)),"")</f>
        <v/>
      </c>
      <c r="L45" t="str" cm="1">
        <f t="array" aca="1" ref="L45" ca="1">IFERROR(INDEX(_xlfn._xlws.FILTER(RawData[Audit Status],RawData[Error Flag]&gt;0),ROWS(L$6:L45)),"")</f>
        <v/>
      </c>
    </row>
    <row r="46" spans="1:12" x14ac:dyDescent="0.25">
      <c r="A46" t="str" cm="1">
        <f t="array" aca="1" ref="A46" ca="1">IFERROR(INDEX(_xlfn._xlws.FILTER(RawData[Project Name],RawData[Error Flag]&gt;0),ROWS(A$6:A46)),"")</f>
        <v/>
      </c>
      <c r="B46" s="1" t="str" cm="1">
        <f t="array" aca="1" ref="B46" ca="1">IFERROR(INDEX(_xlfn._xlws.FILTER(RawData[Mobile],RawData[Error Flag]&gt;0),ROWS(B$6:B46)),"")</f>
        <v/>
      </c>
      <c r="C46" t="str" cm="1">
        <f t="array" aca="1" ref="C46" ca="1">IFERROR(INDEX(_xlfn._xlws.FILTER(RawData[Telecaller Name],RawData[Error Flag]&gt;0),ROWS(C$6:C46)),"")</f>
        <v/>
      </c>
      <c r="D46" s="2" t="str" cm="1">
        <f t="array" aca="1" ref="D46" ca="1">IFERROR(INDEX(_xlfn._xlws.FILTER(RawData[Lead Registration Date],RawData[Error Flag]&gt;0),ROWS(D$6:D46)),"")</f>
        <v/>
      </c>
      <c r="E46" t="str" cm="1">
        <f t="array" aca="1" ref="E46" ca="1">IFERROR(INDEX(_xlfn._xlws.FILTER(RawData[Lead Status],RawData[Error Flag]&gt;0),ROWS(E$6:E46)),"")</f>
        <v/>
      </c>
      <c r="F46" t="str" cm="1">
        <f t="array" aca="1" ref="F46" ca="1">IFERROR(INDEX(_xlfn._xlws.FILTER(RawData[Status],RawData[Error Flag]&gt;0),ROWS(F$6:F46)),"")</f>
        <v/>
      </c>
      <c r="G46" s="6" t="str" cm="1">
        <f t="array" aca="1" ref="G46" ca="1">IFERROR(INDEX(_xlfn._xlws.FILTER(RawData[Comments],RawData[Error Flag]&gt;0),ROWS(G$6:G46)),"")</f>
        <v/>
      </c>
      <c r="H46" s="6" t="str" cm="1">
        <f t="array" aca="1" ref="H46" ca="1">IFERROR(INDEX(_xlfn._xlws.FILTER(RawData[Error Type],RawData[Error Flag]&gt;0),ROWS(H$6:H46)),"")</f>
        <v/>
      </c>
      <c r="I46" s="6" t="str" cm="1">
        <f t="array" aca="1" ref="I46" ca="1">IFERROR(INDEX(_xlfn._xlws.FILTER(RawData[Error Details],RawData[Error Flag]&gt;0),ROWS(I$6:I46)),"")</f>
        <v/>
      </c>
      <c r="J46" s="6" t="str" cm="1">
        <f t="array" aca="1" ref="J46" ca="1">IFERROR(INDEX(_xlfn._xlws.FILTER(RawData[Recommended Action],RawData[Error Flag]&gt;0),ROWS(J$6:J46)),"")</f>
        <v/>
      </c>
      <c r="K46" t="str" cm="1">
        <f t="array" aca="1" ref="K46" ca="1">IFERROR(INDEX(_xlfn._xlws.FILTER(RawData[Severity],RawData[Error Flag]&gt;0),ROWS(K$6:K46)),"")</f>
        <v/>
      </c>
      <c r="L46" t="str" cm="1">
        <f t="array" aca="1" ref="L46" ca="1">IFERROR(INDEX(_xlfn._xlws.FILTER(RawData[Audit Status],RawData[Error Flag]&gt;0),ROWS(L$6:L46)),"")</f>
        <v/>
      </c>
    </row>
    <row r="47" spans="1:12" x14ac:dyDescent="0.25">
      <c r="A47" t="str" cm="1">
        <f t="array" aca="1" ref="A47" ca="1">IFERROR(INDEX(_xlfn._xlws.FILTER(RawData[Project Name],RawData[Error Flag]&gt;0),ROWS(A$6:A47)),"")</f>
        <v/>
      </c>
      <c r="B47" s="1" t="str" cm="1">
        <f t="array" aca="1" ref="B47" ca="1">IFERROR(INDEX(_xlfn._xlws.FILTER(RawData[Mobile],RawData[Error Flag]&gt;0),ROWS(B$6:B47)),"")</f>
        <v/>
      </c>
      <c r="C47" t="str" cm="1">
        <f t="array" aca="1" ref="C47" ca="1">IFERROR(INDEX(_xlfn._xlws.FILTER(RawData[Telecaller Name],RawData[Error Flag]&gt;0),ROWS(C$6:C47)),"")</f>
        <v/>
      </c>
      <c r="D47" s="2" t="str" cm="1">
        <f t="array" aca="1" ref="D47" ca="1">IFERROR(INDEX(_xlfn._xlws.FILTER(RawData[Lead Registration Date],RawData[Error Flag]&gt;0),ROWS(D$6:D47)),"")</f>
        <v/>
      </c>
      <c r="E47" t="str" cm="1">
        <f t="array" aca="1" ref="E47" ca="1">IFERROR(INDEX(_xlfn._xlws.FILTER(RawData[Lead Status],RawData[Error Flag]&gt;0),ROWS(E$6:E47)),"")</f>
        <v/>
      </c>
      <c r="F47" t="str" cm="1">
        <f t="array" aca="1" ref="F47" ca="1">IFERROR(INDEX(_xlfn._xlws.FILTER(RawData[Status],RawData[Error Flag]&gt;0),ROWS(F$6:F47)),"")</f>
        <v/>
      </c>
      <c r="G47" s="6" t="str" cm="1">
        <f t="array" aca="1" ref="G47" ca="1">IFERROR(INDEX(_xlfn._xlws.FILTER(RawData[Comments],RawData[Error Flag]&gt;0),ROWS(G$6:G47)),"")</f>
        <v/>
      </c>
      <c r="H47" s="6" t="str" cm="1">
        <f t="array" aca="1" ref="H47" ca="1">IFERROR(INDEX(_xlfn._xlws.FILTER(RawData[Error Type],RawData[Error Flag]&gt;0),ROWS(H$6:H47)),"")</f>
        <v/>
      </c>
      <c r="I47" s="6" t="str" cm="1">
        <f t="array" aca="1" ref="I47" ca="1">IFERROR(INDEX(_xlfn._xlws.FILTER(RawData[Error Details],RawData[Error Flag]&gt;0),ROWS(I$6:I47)),"")</f>
        <v/>
      </c>
      <c r="J47" s="6" t="str" cm="1">
        <f t="array" aca="1" ref="J47" ca="1">IFERROR(INDEX(_xlfn._xlws.FILTER(RawData[Recommended Action],RawData[Error Flag]&gt;0),ROWS(J$6:J47)),"")</f>
        <v/>
      </c>
      <c r="K47" t="str" cm="1">
        <f t="array" aca="1" ref="K47" ca="1">IFERROR(INDEX(_xlfn._xlws.FILTER(RawData[Severity],RawData[Error Flag]&gt;0),ROWS(K$6:K47)),"")</f>
        <v/>
      </c>
      <c r="L47" t="str" cm="1">
        <f t="array" aca="1" ref="L47" ca="1">IFERROR(INDEX(_xlfn._xlws.FILTER(RawData[Audit Status],RawData[Error Flag]&gt;0),ROWS(L$6:L47)),"")</f>
        <v/>
      </c>
    </row>
    <row r="48" spans="1:12" x14ac:dyDescent="0.25">
      <c r="A48" t="str" cm="1">
        <f t="array" aca="1" ref="A48" ca="1">IFERROR(INDEX(_xlfn._xlws.FILTER(RawData[Project Name],RawData[Error Flag]&gt;0),ROWS(A$6:A48)),"")</f>
        <v/>
      </c>
      <c r="B48" s="1" t="str" cm="1">
        <f t="array" aca="1" ref="B48" ca="1">IFERROR(INDEX(_xlfn._xlws.FILTER(RawData[Mobile],RawData[Error Flag]&gt;0),ROWS(B$6:B48)),"")</f>
        <v/>
      </c>
      <c r="C48" t="str" cm="1">
        <f t="array" aca="1" ref="C48" ca="1">IFERROR(INDEX(_xlfn._xlws.FILTER(RawData[Telecaller Name],RawData[Error Flag]&gt;0),ROWS(C$6:C48)),"")</f>
        <v/>
      </c>
      <c r="D48" s="2" t="str" cm="1">
        <f t="array" aca="1" ref="D48" ca="1">IFERROR(INDEX(_xlfn._xlws.FILTER(RawData[Lead Registration Date],RawData[Error Flag]&gt;0),ROWS(D$6:D48)),"")</f>
        <v/>
      </c>
      <c r="E48" t="str" cm="1">
        <f t="array" aca="1" ref="E48" ca="1">IFERROR(INDEX(_xlfn._xlws.FILTER(RawData[Lead Status],RawData[Error Flag]&gt;0),ROWS(E$6:E48)),"")</f>
        <v/>
      </c>
      <c r="F48" t="str" cm="1">
        <f t="array" aca="1" ref="F48" ca="1">IFERROR(INDEX(_xlfn._xlws.FILTER(RawData[Status],RawData[Error Flag]&gt;0),ROWS(F$6:F48)),"")</f>
        <v/>
      </c>
      <c r="G48" s="6" t="str" cm="1">
        <f t="array" aca="1" ref="G48" ca="1">IFERROR(INDEX(_xlfn._xlws.FILTER(RawData[Comments],RawData[Error Flag]&gt;0),ROWS(G$6:G48)),"")</f>
        <v/>
      </c>
      <c r="H48" s="6" t="str" cm="1">
        <f t="array" aca="1" ref="H48" ca="1">IFERROR(INDEX(_xlfn._xlws.FILTER(RawData[Error Type],RawData[Error Flag]&gt;0),ROWS(H$6:H48)),"")</f>
        <v/>
      </c>
      <c r="I48" s="6" t="str" cm="1">
        <f t="array" aca="1" ref="I48" ca="1">IFERROR(INDEX(_xlfn._xlws.FILTER(RawData[Error Details],RawData[Error Flag]&gt;0),ROWS(I$6:I48)),"")</f>
        <v/>
      </c>
      <c r="J48" s="6" t="str" cm="1">
        <f t="array" aca="1" ref="J48" ca="1">IFERROR(INDEX(_xlfn._xlws.FILTER(RawData[Recommended Action],RawData[Error Flag]&gt;0),ROWS(J$6:J48)),"")</f>
        <v/>
      </c>
      <c r="K48" t="str" cm="1">
        <f t="array" aca="1" ref="K48" ca="1">IFERROR(INDEX(_xlfn._xlws.FILTER(RawData[Severity],RawData[Error Flag]&gt;0),ROWS(K$6:K48)),"")</f>
        <v/>
      </c>
      <c r="L48" t="str" cm="1">
        <f t="array" aca="1" ref="L48" ca="1">IFERROR(INDEX(_xlfn._xlws.FILTER(RawData[Audit Status],RawData[Error Flag]&gt;0),ROWS(L$6:L48)),"")</f>
        <v/>
      </c>
    </row>
    <row r="49" spans="1:12" x14ac:dyDescent="0.25">
      <c r="A49" t="str" cm="1">
        <f t="array" aca="1" ref="A49" ca="1">IFERROR(INDEX(_xlfn._xlws.FILTER(RawData[Project Name],RawData[Error Flag]&gt;0),ROWS(A$6:A49)),"")</f>
        <v/>
      </c>
      <c r="B49" s="1" t="str" cm="1">
        <f t="array" aca="1" ref="B49" ca="1">IFERROR(INDEX(_xlfn._xlws.FILTER(RawData[Mobile],RawData[Error Flag]&gt;0),ROWS(B$6:B49)),"")</f>
        <v/>
      </c>
      <c r="C49" t="str" cm="1">
        <f t="array" aca="1" ref="C49" ca="1">IFERROR(INDEX(_xlfn._xlws.FILTER(RawData[Telecaller Name],RawData[Error Flag]&gt;0),ROWS(C$6:C49)),"")</f>
        <v/>
      </c>
      <c r="D49" s="2" t="str" cm="1">
        <f t="array" aca="1" ref="D49" ca="1">IFERROR(INDEX(_xlfn._xlws.FILTER(RawData[Lead Registration Date],RawData[Error Flag]&gt;0),ROWS(D$6:D49)),"")</f>
        <v/>
      </c>
      <c r="E49" t="str" cm="1">
        <f t="array" aca="1" ref="E49" ca="1">IFERROR(INDEX(_xlfn._xlws.FILTER(RawData[Lead Status],RawData[Error Flag]&gt;0),ROWS(E$6:E49)),"")</f>
        <v/>
      </c>
      <c r="F49" t="str" cm="1">
        <f t="array" aca="1" ref="F49" ca="1">IFERROR(INDEX(_xlfn._xlws.FILTER(RawData[Status],RawData[Error Flag]&gt;0),ROWS(F$6:F49)),"")</f>
        <v/>
      </c>
      <c r="G49" s="6" t="str" cm="1">
        <f t="array" aca="1" ref="G49" ca="1">IFERROR(INDEX(_xlfn._xlws.FILTER(RawData[Comments],RawData[Error Flag]&gt;0),ROWS(G$6:G49)),"")</f>
        <v/>
      </c>
      <c r="H49" s="6" t="str" cm="1">
        <f t="array" aca="1" ref="H49" ca="1">IFERROR(INDEX(_xlfn._xlws.FILTER(RawData[Error Type],RawData[Error Flag]&gt;0),ROWS(H$6:H49)),"")</f>
        <v/>
      </c>
      <c r="I49" s="6" t="str" cm="1">
        <f t="array" aca="1" ref="I49" ca="1">IFERROR(INDEX(_xlfn._xlws.FILTER(RawData[Error Details],RawData[Error Flag]&gt;0),ROWS(I$6:I49)),"")</f>
        <v/>
      </c>
      <c r="J49" s="6" t="str" cm="1">
        <f t="array" aca="1" ref="J49" ca="1">IFERROR(INDEX(_xlfn._xlws.FILTER(RawData[Recommended Action],RawData[Error Flag]&gt;0),ROWS(J$6:J49)),"")</f>
        <v/>
      </c>
      <c r="K49" t="str" cm="1">
        <f t="array" aca="1" ref="K49" ca="1">IFERROR(INDEX(_xlfn._xlws.FILTER(RawData[Severity],RawData[Error Flag]&gt;0),ROWS(K$6:K49)),"")</f>
        <v/>
      </c>
      <c r="L49" t="str" cm="1">
        <f t="array" aca="1" ref="L49" ca="1">IFERROR(INDEX(_xlfn._xlws.FILTER(RawData[Audit Status],RawData[Error Flag]&gt;0),ROWS(L$6:L49)),"")</f>
        <v/>
      </c>
    </row>
    <row r="50" spans="1:12" x14ac:dyDescent="0.25">
      <c r="A50" t="str" cm="1">
        <f t="array" aca="1" ref="A50" ca="1">IFERROR(INDEX(_xlfn._xlws.FILTER(RawData[Project Name],RawData[Error Flag]&gt;0),ROWS(A$6:A50)),"")</f>
        <v/>
      </c>
      <c r="B50" s="1" t="str" cm="1">
        <f t="array" aca="1" ref="B50" ca="1">IFERROR(INDEX(_xlfn._xlws.FILTER(RawData[Mobile],RawData[Error Flag]&gt;0),ROWS(B$6:B50)),"")</f>
        <v/>
      </c>
      <c r="C50" t="str" cm="1">
        <f t="array" aca="1" ref="C50" ca="1">IFERROR(INDEX(_xlfn._xlws.FILTER(RawData[Telecaller Name],RawData[Error Flag]&gt;0),ROWS(C$6:C50)),"")</f>
        <v/>
      </c>
      <c r="D50" s="2" t="str" cm="1">
        <f t="array" aca="1" ref="D50" ca="1">IFERROR(INDEX(_xlfn._xlws.FILTER(RawData[Lead Registration Date],RawData[Error Flag]&gt;0),ROWS(D$6:D50)),"")</f>
        <v/>
      </c>
      <c r="E50" t="str" cm="1">
        <f t="array" aca="1" ref="E50" ca="1">IFERROR(INDEX(_xlfn._xlws.FILTER(RawData[Lead Status],RawData[Error Flag]&gt;0),ROWS(E$6:E50)),"")</f>
        <v/>
      </c>
      <c r="F50" t="str" cm="1">
        <f t="array" aca="1" ref="F50" ca="1">IFERROR(INDEX(_xlfn._xlws.FILTER(RawData[Status],RawData[Error Flag]&gt;0),ROWS(F$6:F50)),"")</f>
        <v/>
      </c>
      <c r="G50" s="6" t="str" cm="1">
        <f t="array" aca="1" ref="G50" ca="1">IFERROR(INDEX(_xlfn._xlws.FILTER(RawData[Comments],RawData[Error Flag]&gt;0),ROWS(G$6:G50)),"")</f>
        <v/>
      </c>
      <c r="H50" s="6" t="str" cm="1">
        <f t="array" aca="1" ref="H50" ca="1">IFERROR(INDEX(_xlfn._xlws.FILTER(RawData[Error Type],RawData[Error Flag]&gt;0),ROWS(H$6:H50)),"")</f>
        <v/>
      </c>
      <c r="I50" s="6" t="str" cm="1">
        <f t="array" aca="1" ref="I50" ca="1">IFERROR(INDEX(_xlfn._xlws.FILTER(RawData[Error Details],RawData[Error Flag]&gt;0),ROWS(I$6:I50)),"")</f>
        <v/>
      </c>
      <c r="J50" s="6" t="str" cm="1">
        <f t="array" aca="1" ref="J50" ca="1">IFERROR(INDEX(_xlfn._xlws.FILTER(RawData[Recommended Action],RawData[Error Flag]&gt;0),ROWS(J$6:J50)),"")</f>
        <v/>
      </c>
      <c r="K50" t="str" cm="1">
        <f t="array" aca="1" ref="K50" ca="1">IFERROR(INDEX(_xlfn._xlws.FILTER(RawData[Severity],RawData[Error Flag]&gt;0),ROWS(K$6:K50)),"")</f>
        <v/>
      </c>
      <c r="L50" t="str" cm="1">
        <f t="array" aca="1" ref="L50" ca="1">IFERROR(INDEX(_xlfn._xlws.FILTER(RawData[Audit Status],RawData[Error Flag]&gt;0),ROWS(L$6:L50)),"")</f>
        <v/>
      </c>
    </row>
    <row r="51" spans="1:12" x14ac:dyDescent="0.25">
      <c r="A51" t="str" cm="1">
        <f t="array" aca="1" ref="A51" ca="1">IFERROR(INDEX(_xlfn._xlws.FILTER(RawData[Project Name],RawData[Error Flag]&gt;0),ROWS(A$6:A51)),"")</f>
        <v/>
      </c>
      <c r="B51" s="1" t="str" cm="1">
        <f t="array" aca="1" ref="B51" ca="1">IFERROR(INDEX(_xlfn._xlws.FILTER(RawData[Mobile],RawData[Error Flag]&gt;0),ROWS(B$6:B51)),"")</f>
        <v/>
      </c>
      <c r="C51" t="str" cm="1">
        <f t="array" aca="1" ref="C51" ca="1">IFERROR(INDEX(_xlfn._xlws.FILTER(RawData[Telecaller Name],RawData[Error Flag]&gt;0),ROWS(C$6:C51)),"")</f>
        <v/>
      </c>
      <c r="D51" s="2" t="str" cm="1">
        <f t="array" aca="1" ref="D51" ca="1">IFERROR(INDEX(_xlfn._xlws.FILTER(RawData[Lead Registration Date],RawData[Error Flag]&gt;0),ROWS(D$6:D51)),"")</f>
        <v/>
      </c>
      <c r="E51" t="str" cm="1">
        <f t="array" aca="1" ref="E51" ca="1">IFERROR(INDEX(_xlfn._xlws.FILTER(RawData[Lead Status],RawData[Error Flag]&gt;0),ROWS(E$6:E51)),"")</f>
        <v/>
      </c>
      <c r="F51" t="str" cm="1">
        <f t="array" aca="1" ref="F51" ca="1">IFERROR(INDEX(_xlfn._xlws.FILTER(RawData[Status],RawData[Error Flag]&gt;0),ROWS(F$6:F51)),"")</f>
        <v/>
      </c>
      <c r="G51" s="6" t="str" cm="1">
        <f t="array" aca="1" ref="G51" ca="1">IFERROR(INDEX(_xlfn._xlws.FILTER(RawData[Comments],RawData[Error Flag]&gt;0),ROWS(G$6:G51)),"")</f>
        <v/>
      </c>
      <c r="H51" s="6" t="str" cm="1">
        <f t="array" aca="1" ref="H51" ca="1">IFERROR(INDEX(_xlfn._xlws.FILTER(RawData[Error Type],RawData[Error Flag]&gt;0),ROWS(H$6:H51)),"")</f>
        <v/>
      </c>
      <c r="I51" s="6" t="str" cm="1">
        <f t="array" aca="1" ref="I51" ca="1">IFERROR(INDEX(_xlfn._xlws.FILTER(RawData[Error Details],RawData[Error Flag]&gt;0),ROWS(I$6:I51)),"")</f>
        <v/>
      </c>
      <c r="J51" s="6" t="str" cm="1">
        <f t="array" aca="1" ref="J51" ca="1">IFERROR(INDEX(_xlfn._xlws.FILTER(RawData[Recommended Action],RawData[Error Flag]&gt;0),ROWS(J$6:J51)),"")</f>
        <v/>
      </c>
      <c r="K51" t="str" cm="1">
        <f t="array" aca="1" ref="K51" ca="1">IFERROR(INDEX(_xlfn._xlws.FILTER(RawData[Severity],RawData[Error Flag]&gt;0),ROWS(K$6:K51)),"")</f>
        <v/>
      </c>
      <c r="L51" t="str" cm="1">
        <f t="array" aca="1" ref="L51" ca="1">IFERROR(INDEX(_xlfn._xlws.FILTER(RawData[Audit Status],RawData[Error Flag]&gt;0),ROWS(L$6:L51)),"")</f>
        <v/>
      </c>
    </row>
    <row r="52" spans="1:12" x14ac:dyDescent="0.25">
      <c r="A52" t="str" cm="1">
        <f t="array" aca="1" ref="A52" ca="1">IFERROR(INDEX(_xlfn._xlws.FILTER(RawData[Project Name],RawData[Error Flag]&gt;0),ROWS(A$6:A52)),"")</f>
        <v/>
      </c>
      <c r="B52" s="1" t="str" cm="1">
        <f t="array" aca="1" ref="B52" ca="1">IFERROR(INDEX(_xlfn._xlws.FILTER(RawData[Mobile],RawData[Error Flag]&gt;0),ROWS(B$6:B52)),"")</f>
        <v/>
      </c>
      <c r="C52" t="str" cm="1">
        <f t="array" aca="1" ref="C52" ca="1">IFERROR(INDEX(_xlfn._xlws.FILTER(RawData[Telecaller Name],RawData[Error Flag]&gt;0),ROWS(C$6:C52)),"")</f>
        <v/>
      </c>
      <c r="D52" s="2" t="str" cm="1">
        <f t="array" aca="1" ref="D52" ca="1">IFERROR(INDEX(_xlfn._xlws.FILTER(RawData[Lead Registration Date],RawData[Error Flag]&gt;0),ROWS(D$6:D52)),"")</f>
        <v/>
      </c>
      <c r="E52" t="str" cm="1">
        <f t="array" aca="1" ref="E52" ca="1">IFERROR(INDEX(_xlfn._xlws.FILTER(RawData[Lead Status],RawData[Error Flag]&gt;0),ROWS(E$6:E52)),"")</f>
        <v/>
      </c>
      <c r="F52" t="str" cm="1">
        <f t="array" aca="1" ref="F52" ca="1">IFERROR(INDEX(_xlfn._xlws.FILTER(RawData[Status],RawData[Error Flag]&gt;0),ROWS(F$6:F52)),"")</f>
        <v/>
      </c>
      <c r="G52" s="6" t="str" cm="1">
        <f t="array" aca="1" ref="G52" ca="1">IFERROR(INDEX(_xlfn._xlws.FILTER(RawData[Comments],RawData[Error Flag]&gt;0),ROWS(G$6:G52)),"")</f>
        <v/>
      </c>
      <c r="H52" s="6" t="str" cm="1">
        <f t="array" aca="1" ref="H52" ca="1">IFERROR(INDEX(_xlfn._xlws.FILTER(RawData[Error Type],RawData[Error Flag]&gt;0),ROWS(H$6:H52)),"")</f>
        <v/>
      </c>
      <c r="I52" s="6" t="str" cm="1">
        <f t="array" aca="1" ref="I52" ca="1">IFERROR(INDEX(_xlfn._xlws.FILTER(RawData[Error Details],RawData[Error Flag]&gt;0),ROWS(I$6:I52)),"")</f>
        <v/>
      </c>
      <c r="J52" s="6" t="str" cm="1">
        <f t="array" aca="1" ref="J52" ca="1">IFERROR(INDEX(_xlfn._xlws.FILTER(RawData[Recommended Action],RawData[Error Flag]&gt;0),ROWS(J$6:J52)),"")</f>
        <v/>
      </c>
      <c r="K52" t="str" cm="1">
        <f t="array" aca="1" ref="K52" ca="1">IFERROR(INDEX(_xlfn._xlws.FILTER(RawData[Severity],RawData[Error Flag]&gt;0),ROWS(K$6:K52)),"")</f>
        <v/>
      </c>
      <c r="L52" t="str" cm="1">
        <f t="array" aca="1" ref="L52" ca="1">IFERROR(INDEX(_xlfn._xlws.FILTER(RawData[Audit Status],RawData[Error Flag]&gt;0),ROWS(L$6:L52)),"")</f>
        <v/>
      </c>
    </row>
    <row r="53" spans="1:12" x14ac:dyDescent="0.25">
      <c r="A53" t="str" cm="1">
        <f t="array" aca="1" ref="A53" ca="1">IFERROR(INDEX(_xlfn._xlws.FILTER(RawData[Project Name],RawData[Error Flag]&gt;0),ROWS(A$6:A53)),"")</f>
        <v/>
      </c>
      <c r="B53" s="1" t="str" cm="1">
        <f t="array" aca="1" ref="B53" ca="1">IFERROR(INDEX(_xlfn._xlws.FILTER(RawData[Mobile],RawData[Error Flag]&gt;0),ROWS(B$6:B53)),"")</f>
        <v/>
      </c>
      <c r="C53" t="str" cm="1">
        <f t="array" aca="1" ref="C53" ca="1">IFERROR(INDEX(_xlfn._xlws.FILTER(RawData[Telecaller Name],RawData[Error Flag]&gt;0),ROWS(C$6:C53)),"")</f>
        <v/>
      </c>
      <c r="D53" s="2" t="str" cm="1">
        <f t="array" aca="1" ref="D53" ca="1">IFERROR(INDEX(_xlfn._xlws.FILTER(RawData[Lead Registration Date],RawData[Error Flag]&gt;0),ROWS(D$6:D53)),"")</f>
        <v/>
      </c>
      <c r="E53" t="str" cm="1">
        <f t="array" aca="1" ref="E53" ca="1">IFERROR(INDEX(_xlfn._xlws.FILTER(RawData[Lead Status],RawData[Error Flag]&gt;0),ROWS(E$6:E53)),"")</f>
        <v/>
      </c>
      <c r="F53" t="str" cm="1">
        <f t="array" aca="1" ref="F53" ca="1">IFERROR(INDEX(_xlfn._xlws.FILTER(RawData[Status],RawData[Error Flag]&gt;0),ROWS(F$6:F53)),"")</f>
        <v/>
      </c>
      <c r="G53" s="6" t="str" cm="1">
        <f t="array" aca="1" ref="G53" ca="1">IFERROR(INDEX(_xlfn._xlws.FILTER(RawData[Comments],RawData[Error Flag]&gt;0),ROWS(G$6:G53)),"")</f>
        <v/>
      </c>
      <c r="H53" s="6" t="str" cm="1">
        <f t="array" aca="1" ref="H53" ca="1">IFERROR(INDEX(_xlfn._xlws.FILTER(RawData[Error Type],RawData[Error Flag]&gt;0),ROWS(H$6:H53)),"")</f>
        <v/>
      </c>
      <c r="I53" s="6" t="str" cm="1">
        <f t="array" aca="1" ref="I53" ca="1">IFERROR(INDEX(_xlfn._xlws.FILTER(RawData[Error Details],RawData[Error Flag]&gt;0),ROWS(I$6:I53)),"")</f>
        <v/>
      </c>
      <c r="J53" s="6" t="str" cm="1">
        <f t="array" aca="1" ref="J53" ca="1">IFERROR(INDEX(_xlfn._xlws.FILTER(RawData[Recommended Action],RawData[Error Flag]&gt;0),ROWS(J$6:J53)),"")</f>
        <v/>
      </c>
      <c r="K53" t="str" cm="1">
        <f t="array" aca="1" ref="K53" ca="1">IFERROR(INDEX(_xlfn._xlws.FILTER(RawData[Severity],RawData[Error Flag]&gt;0),ROWS(K$6:K53)),"")</f>
        <v/>
      </c>
      <c r="L53" t="str" cm="1">
        <f t="array" aca="1" ref="L53" ca="1">IFERROR(INDEX(_xlfn._xlws.FILTER(RawData[Audit Status],RawData[Error Flag]&gt;0),ROWS(L$6:L53)),"")</f>
        <v/>
      </c>
    </row>
    <row r="54" spans="1:12" x14ac:dyDescent="0.25">
      <c r="A54" t="str" cm="1">
        <f t="array" aca="1" ref="A54" ca="1">IFERROR(INDEX(_xlfn._xlws.FILTER(RawData[Project Name],RawData[Error Flag]&gt;0),ROWS(A$6:A54)),"")</f>
        <v/>
      </c>
      <c r="B54" s="1" t="str" cm="1">
        <f t="array" aca="1" ref="B54" ca="1">IFERROR(INDEX(_xlfn._xlws.FILTER(RawData[Mobile],RawData[Error Flag]&gt;0),ROWS(B$6:B54)),"")</f>
        <v/>
      </c>
      <c r="C54" t="str" cm="1">
        <f t="array" aca="1" ref="C54" ca="1">IFERROR(INDEX(_xlfn._xlws.FILTER(RawData[Telecaller Name],RawData[Error Flag]&gt;0),ROWS(C$6:C54)),"")</f>
        <v/>
      </c>
      <c r="D54" s="2" t="str" cm="1">
        <f t="array" aca="1" ref="D54" ca="1">IFERROR(INDEX(_xlfn._xlws.FILTER(RawData[Lead Registration Date],RawData[Error Flag]&gt;0),ROWS(D$6:D54)),"")</f>
        <v/>
      </c>
      <c r="E54" t="str" cm="1">
        <f t="array" aca="1" ref="E54" ca="1">IFERROR(INDEX(_xlfn._xlws.FILTER(RawData[Lead Status],RawData[Error Flag]&gt;0),ROWS(E$6:E54)),"")</f>
        <v/>
      </c>
      <c r="F54" t="str" cm="1">
        <f t="array" aca="1" ref="F54" ca="1">IFERROR(INDEX(_xlfn._xlws.FILTER(RawData[Status],RawData[Error Flag]&gt;0),ROWS(F$6:F54)),"")</f>
        <v/>
      </c>
      <c r="G54" s="6" t="str" cm="1">
        <f t="array" aca="1" ref="G54" ca="1">IFERROR(INDEX(_xlfn._xlws.FILTER(RawData[Comments],RawData[Error Flag]&gt;0),ROWS(G$6:G54)),"")</f>
        <v/>
      </c>
      <c r="H54" s="6" t="str" cm="1">
        <f t="array" aca="1" ref="H54" ca="1">IFERROR(INDEX(_xlfn._xlws.FILTER(RawData[Error Type],RawData[Error Flag]&gt;0),ROWS(H$6:H54)),"")</f>
        <v/>
      </c>
      <c r="I54" s="6" t="str" cm="1">
        <f t="array" aca="1" ref="I54" ca="1">IFERROR(INDEX(_xlfn._xlws.FILTER(RawData[Error Details],RawData[Error Flag]&gt;0),ROWS(I$6:I54)),"")</f>
        <v/>
      </c>
      <c r="J54" s="6" t="str" cm="1">
        <f t="array" aca="1" ref="J54" ca="1">IFERROR(INDEX(_xlfn._xlws.FILTER(RawData[Recommended Action],RawData[Error Flag]&gt;0),ROWS(J$6:J54)),"")</f>
        <v/>
      </c>
      <c r="K54" t="str" cm="1">
        <f t="array" aca="1" ref="K54" ca="1">IFERROR(INDEX(_xlfn._xlws.FILTER(RawData[Severity],RawData[Error Flag]&gt;0),ROWS(K$6:K54)),"")</f>
        <v/>
      </c>
      <c r="L54" t="str" cm="1">
        <f t="array" aca="1" ref="L54" ca="1">IFERROR(INDEX(_xlfn._xlws.FILTER(RawData[Audit Status],RawData[Error Flag]&gt;0),ROWS(L$6:L54)),"")</f>
        <v/>
      </c>
    </row>
    <row r="55" spans="1:12" x14ac:dyDescent="0.25">
      <c r="A55" t="str" cm="1">
        <f t="array" aca="1" ref="A55" ca="1">IFERROR(INDEX(_xlfn._xlws.FILTER(RawData[Project Name],RawData[Error Flag]&gt;0),ROWS(A$6:A55)),"")</f>
        <v/>
      </c>
      <c r="B55" s="1" t="str" cm="1">
        <f t="array" aca="1" ref="B55" ca="1">IFERROR(INDEX(_xlfn._xlws.FILTER(RawData[Mobile],RawData[Error Flag]&gt;0),ROWS(B$6:B55)),"")</f>
        <v/>
      </c>
      <c r="C55" t="str" cm="1">
        <f t="array" aca="1" ref="C55" ca="1">IFERROR(INDEX(_xlfn._xlws.FILTER(RawData[Telecaller Name],RawData[Error Flag]&gt;0),ROWS(C$6:C55)),"")</f>
        <v/>
      </c>
      <c r="D55" s="2" t="str" cm="1">
        <f t="array" aca="1" ref="D55" ca="1">IFERROR(INDEX(_xlfn._xlws.FILTER(RawData[Lead Registration Date],RawData[Error Flag]&gt;0),ROWS(D$6:D55)),"")</f>
        <v/>
      </c>
      <c r="E55" t="str" cm="1">
        <f t="array" aca="1" ref="E55" ca="1">IFERROR(INDEX(_xlfn._xlws.FILTER(RawData[Lead Status],RawData[Error Flag]&gt;0),ROWS(E$6:E55)),"")</f>
        <v/>
      </c>
      <c r="F55" t="str" cm="1">
        <f t="array" aca="1" ref="F55" ca="1">IFERROR(INDEX(_xlfn._xlws.FILTER(RawData[Status],RawData[Error Flag]&gt;0),ROWS(F$6:F55)),"")</f>
        <v/>
      </c>
      <c r="G55" s="6" t="str" cm="1">
        <f t="array" aca="1" ref="G55" ca="1">IFERROR(INDEX(_xlfn._xlws.FILTER(RawData[Comments],RawData[Error Flag]&gt;0),ROWS(G$6:G55)),"")</f>
        <v/>
      </c>
      <c r="H55" s="6" t="str" cm="1">
        <f t="array" aca="1" ref="H55" ca="1">IFERROR(INDEX(_xlfn._xlws.FILTER(RawData[Error Type],RawData[Error Flag]&gt;0),ROWS(H$6:H55)),"")</f>
        <v/>
      </c>
      <c r="I55" s="6" t="str" cm="1">
        <f t="array" aca="1" ref="I55" ca="1">IFERROR(INDEX(_xlfn._xlws.FILTER(RawData[Error Details],RawData[Error Flag]&gt;0),ROWS(I$6:I55)),"")</f>
        <v/>
      </c>
      <c r="J55" s="6" t="str" cm="1">
        <f t="array" aca="1" ref="J55" ca="1">IFERROR(INDEX(_xlfn._xlws.FILTER(RawData[Recommended Action],RawData[Error Flag]&gt;0),ROWS(J$6:J55)),"")</f>
        <v/>
      </c>
      <c r="K55" t="str" cm="1">
        <f t="array" aca="1" ref="K55" ca="1">IFERROR(INDEX(_xlfn._xlws.FILTER(RawData[Severity],RawData[Error Flag]&gt;0),ROWS(K$6:K55)),"")</f>
        <v/>
      </c>
      <c r="L55" t="str" cm="1">
        <f t="array" aca="1" ref="L55" ca="1">IFERROR(INDEX(_xlfn._xlws.FILTER(RawData[Audit Status],RawData[Error Flag]&gt;0),ROWS(L$6:L55)),"")</f>
        <v/>
      </c>
    </row>
    <row r="56" spans="1:12" x14ac:dyDescent="0.25">
      <c r="A56" t="str" cm="1">
        <f t="array" aca="1" ref="A56" ca="1">IFERROR(INDEX(_xlfn._xlws.FILTER(RawData[Project Name],RawData[Error Flag]&gt;0),ROWS(A$6:A56)),"")</f>
        <v/>
      </c>
      <c r="B56" s="1" t="str" cm="1">
        <f t="array" aca="1" ref="B56" ca="1">IFERROR(INDEX(_xlfn._xlws.FILTER(RawData[Mobile],RawData[Error Flag]&gt;0),ROWS(B$6:B56)),"")</f>
        <v/>
      </c>
      <c r="C56" t="str" cm="1">
        <f t="array" aca="1" ref="C56" ca="1">IFERROR(INDEX(_xlfn._xlws.FILTER(RawData[Telecaller Name],RawData[Error Flag]&gt;0),ROWS(C$6:C56)),"")</f>
        <v/>
      </c>
      <c r="D56" s="2" t="str" cm="1">
        <f t="array" aca="1" ref="D56" ca="1">IFERROR(INDEX(_xlfn._xlws.FILTER(RawData[Lead Registration Date],RawData[Error Flag]&gt;0),ROWS(D$6:D56)),"")</f>
        <v/>
      </c>
      <c r="E56" t="str" cm="1">
        <f t="array" aca="1" ref="E56" ca="1">IFERROR(INDEX(_xlfn._xlws.FILTER(RawData[Lead Status],RawData[Error Flag]&gt;0),ROWS(E$6:E56)),"")</f>
        <v/>
      </c>
      <c r="F56" t="str" cm="1">
        <f t="array" aca="1" ref="F56" ca="1">IFERROR(INDEX(_xlfn._xlws.FILTER(RawData[Status],RawData[Error Flag]&gt;0),ROWS(F$6:F56)),"")</f>
        <v/>
      </c>
      <c r="G56" s="6" t="str" cm="1">
        <f t="array" aca="1" ref="G56" ca="1">IFERROR(INDEX(_xlfn._xlws.FILTER(RawData[Comments],RawData[Error Flag]&gt;0),ROWS(G$6:G56)),"")</f>
        <v/>
      </c>
      <c r="H56" s="6" t="str" cm="1">
        <f t="array" aca="1" ref="H56" ca="1">IFERROR(INDEX(_xlfn._xlws.FILTER(RawData[Error Type],RawData[Error Flag]&gt;0),ROWS(H$6:H56)),"")</f>
        <v/>
      </c>
      <c r="I56" s="6" t="str" cm="1">
        <f t="array" aca="1" ref="I56" ca="1">IFERROR(INDEX(_xlfn._xlws.FILTER(RawData[Error Details],RawData[Error Flag]&gt;0),ROWS(I$6:I56)),"")</f>
        <v/>
      </c>
      <c r="J56" s="6" t="str" cm="1">
        <f t="array" aca="1" ref="J56" ca="1">IFERROR(INDEX(_xlfn._xlws.FILTER(RawData[Recommended Action],RawData[Error Flag]&gt;0),ROWS(J$6:J56)),"")</f>
        <v/>
      </c>
      <c r="K56" t="str" cm="1">
        <f t="array" aca="1" ref="K56" ca="1">IFERROR(INDEX(_xlfn._xlws.FILTER(RawData[Severity],RawData[Error Flag]&gt;0),ROWS(K$6:K56)),"")</f>
        <v/>
      </c>
      <c r="L56" t="str" cm="1">
        <f t="array" aca="1" ref="L56" ca="1">IFERROR(INDEX(_xlfn._xlws.FILTER(RawData[Audit Status],RawData[Error Flag]&gt;0),ROWS(L$6:L56)),"")</f>
        <v/>
      </c>
    </row>
    <row r="57" spans="1:12" x14ac:dyDescent="0.25">
      <c r="A57" t="str" cm="1">
        <f t="array" aca="1" ref="A57" ca="1">IFERROR(INDEX(_xlfn._xlws.FILTER(RawData[Project Name],RawData[Error Flag]&gt;0),ROWS(A$6:A57)),"")</f>
        <v/>
      </c>
      <c r="B57" s="1" t="str" cm="1">
        <f t="array" aca="1" ref="B57" ca="1">IFERROR(INDEX(_xlfn._xlws.FILTER(RawData[Mobile],RawData[Error Flag]&gt;0),ROWS(B$6:B57)),"")</f>
        <v/>
      </c>
      <c r="C57" t="str" cm="1">
        <f t="array" aca="1" ref="C57" ca="1">IFERROR(INDEX(_xlfn._xlws.FILTER(RawData[Telecaller Name],RawData[Error Flag]&gt;0),ROWS(C$6:C57)),"")</f>
        <v/>
      </c>
      <c r="D57" s="2" t="str" cm="1">
        <f t="array" aca="1" ref="D57" ca="1">IFERROR(INDEX(_xlfn._xlws.FILTER(RawData[Lead Registration Date],RawData[Error Flag]&gt;0),ROWS(D$6:D57)),"")</f>
        <v/>
      </c>
      <c r="E57" t="str" cm="1">
        <f t="array" aca="1" ref="E57" ca="1">IFERROR(INDEX(_xlfn._xlws.FILTER(RawData[Lead Status],RawData[Error Flag]&gt;0),ROWS(E$6:E57)),"")</f>
        <v/>
      </c>
      <c r="F57" t="str" cm="1">
        <f t="array" aca="1" ref="F57" ca="1">IFERROR(INDEX(_xlfn._xlws.FILTER(RawData[Status],RawData[Error Flag]&gt;0),ROWS(F$6:F57)),"")</f>
        <v/>
      </c>
      <c r="G57" s="6" t="str" cm="1">
        <f t="array" aca="1" ref="G57" ca="1">IFERROR(INDEX(_xlfn._xlws.FILTER(RawData[Comments],RawData[Error Flag]&gt;0),ROWS(G$6:G57)),"")</f>
        <v/>
      </c>
      <c r="H57" s="6" t="str" cm="1">
        <f t="array" aca="1" ref="H57" ca="1">IFERROR(INDEX(_xlfn._xlws.FILTER(RawData[Error Type],RawData[Error Flag]&gt;0),ROWS(H$6:H57)),"")</f>
        <v/>
      </c>
      <c r="I57" s="6" t="str" cm="1">
        <f t="array" aca="1" ref="I57" ca="1">IFERROR(INDEX(_xlfn._xlws.FILTER(RawData[Error Details],RawData[Error Flag]&gt;0),ROWS(I$6:I57)),"")</f>
        <v/>
      </c>
      <c r="J57" s="6" t="str" cm="1">
        <f t="array" aca="1" ref="J57" ca="1">IFERROR(INDEX(_xlfn._xlws.FILTER(RawData[Recommended Action],RawData[Error Flag]&gt;0),ROWS(J$6:J57)),"")</f>
        <v/>
      </c>
      <c r="K57" t="str" cm="1">
        <f t="array" aca="1" ref="K57" ca="1">IFERROR(INDEX(_xlfn._xlws.FILTER(RawData[Severity],RawData[Error Flag]&gt;0),ROWS(K$6:K57)),"")</f>
        <v/>
      </c>
      <c r="L57" t="str" cm="1">
        <f t="array" aca="1" ref="L57" ca="1">IFERROR(INDEX(_xlfn._xlws.FILTER(RawData[Audit Status],RawData[Error Flag]&gt;0),ROWS(L$6:L57)),"")</f>
        <v/>
      </c>
    </row>
    <row r="58" spans="1:12" x14ac:dyDescent="0.25">
      <c r="A58" t="str" cm="1">
        <f t="array" aca="1" ref="A58" ca="1">IFERROR(INDEX(_xlfn._xlws.FILTER(RawData[Project Name],RawData[Error Flag]&gt;0),ROWS(A$6:A58)),"")</f>
        <v/>
      </c>
      <c r="B58" s="1" t="str" cm="1">
        <f t="array" aca="1" ref="B58" ca="1">IFERROR(INDEX(_xlfn._xlws.FILTER(RawData[Mobile],RawData[Error Flag]&gt;0),ROWS(B$6:B58)),"")</f>
        <v/>
      </c>
      <c r="C58" t="str" cm="1">
        <f t="array" aca="1" ref="C58" ca="1">IFERROR(INDEX(_xlfn._xlws.FILTER(RawData[Telecaller Name],RawData[Error Flag]&gt;0),ROWS(C$6:C58)),"")</f>
        <v/>
      </c>
      <c r="D58" s="2" t="str" cm="1">
        <f t="array" aca="1" ref="D58" ca="1">IFERROR(INDEX(_xlfn._xlws.FILTER(RawData[Lead Registration Date],RawData[Error Flag]&gt;0),ROWS(D$6:D58)),"")</f>
        <v/>
      </c>
      <c r="E58" t="str" cm="1">
        <f t="array" aca="1" ref="E58" ca="1">IFERROR(INDEX(_xlfn._xlws.FILTER(RawData[Lead Status],RawData[Error Flag]&gt;0),ROWS(E$6:E58)),"")</f>
        <v/>
      </c>
      <c r="F58" t="str" cm="1">
        <f t="array" aca="1" ref="F58" ca="1">IFERROR(INDEX(_xlfn._xlws.FILTER(RawData[Status],RawData[Error Flag]&gt;0),ROWS(F$6:F58)),"")</f>
        <v/>
      </c>
      <c r="G58" s="6" t="str" cm="1">
        <f t="array" aca="1" ref="G58" ca="1">IFERROR(INDEX(_xlfn._xlws.FILTER(RawData[Comments],RawData[Error Flag]&gt;0),ROWS(G$6:G58)),"")</f>
        <v/>
      </c>
      <c r="H58" s="6" t="str" cm="1">
        <f t="array" aca="1" ref="H58" ca="1">IFERROR(INDEX(_xlfn._xlws.FILTER(RawData[Error Type],RawData[Error Flag]&gt;0),ROWS(H$6:H58)),"")</f>
        <v/>
      </c>
      <c r="I58" s="6" t="str" cm="1">
        <f t="array" aca="1" ref="I58" ca="1">IFERROR(INDEX(_xlfn._xlws.FILTER(RawData[Error Details],RawData[Error Flag]&gt;0),ROWS(I$6:I58)),"")</f>
        <v/>
      </c>
      <c r="J58" s="6" t="str" cm="1">
        <f t="array" aca="1" ref="J58" ca="1">IFERROR(INDEX(_xlfn._xlws.FILTER(RawData[Recommended Action],RawData[Error Flag]&gt;0),ROWS(J$6:J58)),"")</f>
        <v/>
      </c>
      <c r="K58" t="str" cm="1">
        <f t="array" aca="1" ref="K58" ca="1">IFERROR(INDEX(_xlfn._xlws.FILTER(RawData[Severity],RawData[Error Flag]&gt;0),ROWS(K$6:K58)),"")</f>
        <v/>
      </c>
      <c r="L58" t="str" cm="1">
        <f t="array" aca="1" ref="L58" ca="1">IFERROR(INDEX(_xlfn._xlws.FILTER(RawData[Audit Status],RawData[Error Flag]&gt;0),ROWS(L$6:L58)),"")</f>
        <v/>
      </c>
    </row>
    <row r="59" spans="1:12" x14ac:dyDescent="0.25">
      <c r="A59" t="str" cm="1">
        <f t="array" aca="1" ref="A59" ca="1">IFERROR(INDEX(_xlfn._xlws.FILTER(RawData[Project Name],RawData[Error Flag]&gt;0),ROWS(A$6:A59)),"")</f>
        <v/>
      </c>
      <c r="B59" s="1" t="str" cm="1">
        <f t="array" aca="1" ref="B59" ca="1">IFERROR(INDEX(_xlfn._xlws.FILTER(RawData[Mobile],RawData[Error Flag]&gt;0),ROWS(B$6:B59)),"")</f>
        <v/>
      </c>
      <c r="C59" t="str" cm="1">
        <f t="array" aca="1" ref="C59" ca="1">IFERROR(INDEX(_xlfn._xlws.FILTER(RawData[Telecaller Name],RawData[Error Flag]&gt;0),ROWS(C$6:C59)),"")</f>
        <v/>
      </c>
      <c r="D59" s="2" t="str" cm="1">
        <f t="array" aca="1" ref="D59" ca="1">IFERROR(INDEX(_xlfn._xlws.FILTER(RawData[Lead Registration Date],RawData[Error Flag]&gt;0),ROWS(D$6:D59)),"")</f>
        <v/>
      </c>
      <c r="E59" t="str" cm="1">
        <f t="array" aca="1" ref="E59" ca="1">IFERROR(INDEX(_xlfn._xlws.FILTER(RawData[Lead Status],RawData[Error Flag]&gt;0),ROWS(E$6:E59)),"")</f>
        <v/>
      </c>
      <c r="F59" t="str" cm="1">
        <f t="array" aca="1" ref="F59" ca="1">IFERROR(INDEX(_xlfn._xlws.FILTER(RawData[Status],RawData[Error Flag]&gt;0),ROWS(F$6:F59)),"")</f>
        <v/>
      </c>
      <c r="G59" s="6" t="str" cm="1">
        <f t="array" aca="1" ref="G59" ca="1">IFERROR(INDEX(_xlfn._xlws.FILTER(RawData[Comments],RawData[Error Flag]&gt;0),ROWS(G$6:G59)),"")</f>
        <v/>
      </c>
      <c r="H59" s="6" t="str" cm="1">
        <f t="array" aca="1" ref="H59" ca="1">IFERROR(INDEX(_xlfn._xlws.FILTER(RawData[Error Type],RawData[Error Flag]&gt;0),ROWS(H$6:H59)),"")</f>
        <v/>
      </c>
      <c r="I59" s="6" t="str" cm="1">
        <f t="array" aca="1" ref="I59" ca="1">IFERROR(INDEX(_xlfn._xlws.FILTER(RawData[Error Details],RawData[Error Flag]&gt;0),ROWS(I$6:I59)),"")</f>
        <v/>
      </c>
      <c r="J59" s="6" t="str" cm="1">
        <f t="array" aca="1" ref="J59" ca="1">IFERROR(INDEX(_xlfn._xlws.FILTER(RawData[Recommended Action],RawData[Error Flag]&gt;0),ROWS(J$6:J59)),"")</f>
        <v/>
      </c>
      <c r="K59" t="str" cm="1">
        <f t="array" aca="1" ref="K59" ca="1">IFERROR(INDEX(_xlfn._xlws.FILTER(RawData[Severity],RawData[Error Flag]&gt;0),ROWS(K$6:K59)),"")</f>
        <v/>
      </c>
      <c r="L59" t="str" cm="1">
        <f t="array" aca="1" ref="L59" ca="1">IFERROR(INDEX(_xlfn._xlws.FILTER(RawData[Audit Status],RawData[Error Flag]&gt;0),ROWS(L$6:L59)),"")</f>
        <v/>
      </c>
    </row>
    <row r="60" spans="1:12" x14ac:dyDescent="0.25">
      <c r="A60" t="str" cm="1">
        <f t="array" aca="1" ref="A60" ca="1">IFERROR(INDEX(_xlfn._xlws.FILTER(RawData[Project Name],RawData[Error Flag]&gt;0),ROWS(A$6:A60)),"")</f>
        <v/>
      </c>
      <c r="B60" s="1" t="str" cm="1">
        <f t="array" aca="1" ref="B60" ca="1">IFERROR(INDEX(_xlfn._xlws.FILTER(RawData[Mobile],RawData[Error Flag]&gt;0),ROWS(B$6:B60)),"")</f>
        <v/>
      </c>
      <c r="C60" t="str" cm="1">
        <f t="array" aca="1" ref="C60" ca="1">IFERROR(INDEX(_xlfn._xlws.FILTER(RawData[Telecaller Name],RawData[Error Flag]&gt;0),ROWS(C$6:C60)),"")</f>
        <v/>
      </c>
      <c r="D60" s="2" t="str" cm="1">
        <f t="array" aca="1" ref="D60" ca="1">IFERROR(INDEX(_xlfn._xlws.FILTER(RawData[Lead Registration Date],RawData[Error Flag]&gt;0),ROWS(D$6:D60)),"")</f>
        <v/>
      </c>
      <c r="E60" t="str" cm="1">
        <f t="array" aca="1" ref="E60" ca="1">IFERROR(INDEX(_xlfn._xlws.FILTER(RawData[Lead Status],RawData[Error Flag]&gt;0),ROWS(E$6:E60)),"")</f>
        <v/>
      </c>
      <c r="F60" t="str" cm="1">
        <f t="array" aca="1" ref="F60" ca="1">IFERROR(INDEX(_xlfn._xlws.FILTER(RawData[Status],RawData[Error Flag]&gt;0),ROWS(F$6:F60)),"")</f>
        <v/>
      </c>
      <c r="G60" s="6" t="str" cm="1">
        <f t="array" aca="1" ref="G60" ca="1">IFERROR(INDEX(_xlfn._xlws.FILTER(RawData[Comments],RawData[Error Flag]&gt;0),ROWS(G$6:G60)),"")</f>
        <v/>
      </c>
      <c r="H60" s="6" t="str" cm="1">
        <f t="array" aca="1" ref="H60" ca="1">IFERROR(INDEX(_xlfn._xlws.FILTER(RawData[Error Type],RawData[Error Flag]&gt;0),ROWS(H$6:H60)),"")</f>
        <v/>
      </c>
      <c r="I60" s="6" t="str" cm="1">
        <f t="array" aca="1" ref="I60" ca="1">IFERROR(INDEX(_xlfn._xlws.FILTER(RawData[Error Details],RawData[Error Flag]&gt;0),ROWS(I$6:I60)),"")</f>
        <v/>
      </c>
      <c r="J60" s="6" t="str" cm="1">
        <f t="array" aca="1" ref="J60" ca="1">IFERROR(INDEX(_xlfn._xlws.FILTER(RawData[Recommended Action],RawData[Error Flag]&gt;0),ROWS(J$6:J60)),"")</f>
        <v/>
      </c>
      <c r="K60" t="str" cm="1">
        <f t="array" aca="1" ref="K60" ca="1">IFERROR(INDEX(_xlfn._xlws.FILTER(RawData[Severity],RawData[Error Flag]&gt;0),ROWS(K$6:K60)),"")</f>
        <v/>
      </c>
      <c r="L60" t="str" cm="1">
        <f t="array" aca="1" ref="L60" ca="1">IFERROR(INDEX(_xlfn._xlws.FILTER(RawData[Audit Status],RawData[Error Flag]&gt;0),ROWS(L$6:L60)),"")</f>
        <v/>
      </c>
    </row>
    <row r="61" spans="1:12" x14ac:dyDescent="0.25">
      <c r="A61" t="str" cm="1">
        <f t="array" aca="1" ref="A61" ca="1">IFERROR(INDEX(_xlfn._xlws.FILTER(RawData[Project Name],RawData[Error Flag]&gt;0),ROWS(A$6:A61)),"")</f>
        <v/>
      </c>
      <c r="B61" s="1" t="str" cm="1">
        <f t="array" aca="1" ref="B61" ca="1">IFERROR(INDEX(_xlfn._xlws.FILTER(RawData[Mobile],RawData[Error Flag]&gt;0),ROWS(B$6:B61)),"")</f>
        <v/>
      </c>
      <c r="C61" t="str" cm="1">
        <f t="array" aca="1" ref="C61" ca="1">IFERROR(INDEX(_xlfn._xlws.FILTER(RawData[Telecaller Name],RawData[Error Flag]&gt;0),ROWS(C$6:C61)),"")</f>
        <v/>
      </c>
      <c r="D61" s="2" t="str" cm="1">
        <f t="array" aca="1" ref="D61" ca="1">IFERROR(INDEX(_xlfn._xlws.FILTER(RawData[Lead Registration Date],RawData[Error Flag]&gt;0),ROWS(D$6:D61)),"")</f>
        <v/>
      </c>
      <c r="E61" t="str" cm="1">
        <f t="array" aca="1" ref="E61" ca="1">IFERROR(INDEX(_xlfn._xlws.FILTER(RawData[Lead Status],RawData[Error Flag]&gt;0),ROWS(E$6:E61)),"")</f>
        <v/>
      </c>
      <c r="F61" t="str" cm="1">
        <f t="array" aca="1" ref="F61" ca="1">IFERROR(INDEX(_xlfn._xlws.FILTER(RawData[Status],RawData[Error Flag]&gt;0),ROWS(F$6:F61)),"")</f>
        <v/>
      </c>
      <c r="G61" s="6" t="str" cm="1">
        <f t="array" aca="1" ref="G61" ca="1">IFERROR(INDEX(_xlfn._xlws.FILTER(RawData[Comments],RawData[Error Flag]&gt;0),ROWS(G$6:G61)),"")</f>
        <v/>
      </c>
      <c r="H61" s="6" t="str" cm="1">
        <f t="array" aca="1" ref="H61" ca="1">IFERROR(INDEX(_xlfn._xlws.FILTER(RawData[Error Type],RawData[Error Flag]&gt;0),ROWS(H$6:H61)),"")</f>
        <v/>
      </c>
      <c r="I61" s="6" t="str" cm="1">
        <f t="array" aca="1" ref="I61" ca="1">IFERROR(INDEX(_xlfn._xlws.FILTER(RawData[Error Details],RawData[Error Flag]&gt;0),ROWS(I$6:I61)),"")</f>
        <v/>
      </c>
      <c r="J61" s="6" t="str" cm="1">
        <f t="array" aca="1" ref="J61" ca="1">IFERROR(INDEX(_xlfn._xlws.FILTER(RawData[Recommended Action],RawData[Error Flag]&gt;0),ROWS(J$6:J61)),"")</f>
        <v/>
      </c>
      <c r="K61" t="str" cm="1">
        <f t="array" aca="1" ref="K61" ca="1">IFERROR(INDEX(_xlfn._xlws.FILTER(RawData[Severity],RawData[Error Flag]&gt;0),ROWS(K$6:K61)),"")</f>
        <v/>
      </c>
      <c r="L61" t="str" cm="1">
        <f t="array" aca="1" ref="L61" ca="1">IFERROR(INDEX(_xlfn._xlws.FILTER(RawData[Audit Status],RawData[Error Flag]&gt;0),ROWS(L$6:L61)),"")</f>
        <v/>
      </c>
    </row>
    <row r="62" spans="1:12" x14ac:dyDescent="0.25">
      <c r="A62" t="str" cm="1">
        <f t="array" aca="1" ref="A62" ca="1">IFERROR(INDEX(_xlfn._xlws.FILTER(RawData[Project Name],RawData[Error Flag]&gt;0),ROWS(A$6:A62)),"")</f>
        <v/>
      </c>
      <c r="B62" s="1" t="str" cm="1">
        <f t="array" aca="1" ref="B62" ca="1">IFERROR(INDEX(_xlfn._xlws.FILTER(RawData[Mobile],RawData[Error Flag]&gt;0),ROWS(B$6:B62)),"")</f>
        <v/>
      </c>
      <c r="C62" t="str" cm="1">
        <f t="array" aca="1" ref="C62" ca="1">IFERROR(INDEX(_xlfn._xlws.FILTER(RawData[Telecaller Name],RawData[Error Flag]&gt;0),ROWS(C$6:C62)),"")</f>
        <v/>
      </c>
      <c r="D62" s="2" t="str" cm="1">
        <f t="array" aca="1" ref="D62" ca="1">IFERROR(INDEX(_xlfn._xlws.FILTER(RawData[Lead Registration Date],RawData[Error Flag]&gt;0),ROWS(D$6:D62)),"")</f>
        <v/>
      </c>
      <c r="E62" t="str" cm="1">
        <f t="array" aca="1" ref="E62" ca="1">IFERROR(INDEX(_xlfn._xlws.FILTER(RawData[Lead Status],RawData[Error Flag]&gt;0),ROWS(E$6:E62)),"")</f>
        <v/>
      </c>
      <c r="F62" t="str" cm="1">
        <f t="array" aca="1" ref="F62" ca="1">IFERROR(INDEX(_xlfn._xlws.FILTER(RawData[Status],RawData[Error Flag]&gt;0),ROWS(F$6:F62)),"")</f>
        <v/>
      </c>
      <c r="G62" s="6" t="str" cm="1">
        <f t="array" aca="1" ref="G62" ca="1">IFERROR(INDEX(_xlfn._xlws.FILTER(RawData[Comments],RawData[Error Flag]&gt;0),ROWS(G$6:G62)),"")</f>
        <v/>
      </c>
      <c r="H62" s="6" t="str" cm="1">
        <f t="array" aca="1" ref="H62" ca="1">IFERROR(INDEX(_xlfn._xlws.FILTER(RawData[Error Type],RawData[Error Flag]&gt;0),ROWS(H$6:H62)),"")</f>
        <v/>
      </c>
      <c r="I62" s="6" t="str" cm="1">
        <f t="array" aca="1" ref="I62" ca="1">IFERROR(INDEX(_xlfn._xlws.FILTER(RawData[Error Details],RawData[Error Flag]&gt;0),ROWS(I$6:I62)),"")</f>
        <v/>
      </c>
      <c r="J62" s="6" t="str" cm="1">
        <f t="array" aca="1" ref="J62" ca="1">IFERROR(INDEX(_xlfn._xlws.FILTER(RawData[Recommended Action],RawData[Error Flag]&gt;0),ROWS(J$6:J62)),"")</f>
        <v/>
      </c>
      <c r="K62" t="str" cm="1">
        <f t="array" aca="1" ref="K62" ca="1">IFERROR(INDEX(_xlfn._xlws.FILTER(RawData[Severity],RawData[Error Flag]&gt;0),ROWS(K$6:K62)),"")</f>
        <v/>
      </c>
      <c r="L62" t="str" cm="1">
        <f t="array" aca="1" ref="L62" ca="1">IFERROR(INDEX(_xlfn._xlws.FILTER(RawData[Audit Status],RawData[Error Flag]&gt;0),ROWS(L$6:L62)),"")</f>
        <v/>
      </c>
    </row>
    <row r="63" spans="1:12" x14ac:dyDescent="0.25">
      <c r="A63" t="str" cm="1">
        <f t="array" aca="1" ref="A63" ca="1">IFERROR(INDEX(_xlfn._xlws.FILTER(RawData[Project Name],RawData[Error Flag]&gt;0),ROWS(A$6:A63)),"")</f>
        <v/>
      </c>
      <c r="B63" s="1" t="str" cm="1">
        <f t="array" aca="1" ref="B63" ca="1">IFERROR(INDEX(_xlfn._xlws.FILTER(RawData[Mobile],RawData[Error Flag]&gt;0),ROWS(B$6:B63)),"")</f>
        <v/>
      </c>
      <c r="C63" t="str" cm="1">
        <f t="array" aca="1" ref="C63" ca="1">IFERROR(INDEX(_xlfn._xlws.FILTER(RawData[Telecaller Name],RawData[Error Flag]&gt;0),ROWS(C$6:C63)),"")</f>
        <v/>
      </c>
      <c r="D63" s="2" t="str" cm="1">
        <f t="array" aca="1" ref="D63" ca="1">IFERROR(INDEX(_xlfn._xlws.FILTER(RawData[Lead Registration Date],RawData[Error Flag]&gt;0),ROWS(D$6:D63)),"")</f>
        <v/>
      </c>
      <c r="E63" t="str" cm="1">
        <f t="array" aca="1" ref="E63" ca="1">IFERROR(INDEX(_xlfn._xlws.FILTER(RawData[Lead Status],RawData[Error Flag]&gt;0),ROWS(E$6:E63)),"")</f>
        <v/>
      </c>
      <c r="F63" t="str" cm="1">
        <f t="array" aca="1" ref="F63" ca="1">IFERROR(INDEX(_xlfn._xlws.FILTER(RawData[Status],RawData[Error Flag]&gt;0),ROWS(F$6:F63)),"")</f>
        <v/>
      </c>
      <c r="G63" s="6" t="str" cm="1">
        <f t="array" aca="1" ref="G63" ca="1">IFERROR(INDEX(_xlfn._xlws.FILTER(RawData[Comments],RawData[Error Flag]&gt;0),ROWS(G$6:G63)),"")</f>
        <v/>
      </c>
      <c r="H63" s="6" t="str" cm="1">
        <f t="array" aca="1" ref="H63" ca="1">IFERROR(INDEX(_xlfn._xlws.FILTER(RawData[Error Type],RawData[Error Flag]&gt;0),ROWS(H$6:H63)),"")</f>
        <v/>
      </c>
      <c r="I63" s="6" t="str" cm="1">
        <f t="array" aca="1" ref="I63" ca="1">IFERROR(INDEX(_xlfn._xlws.FILTER(RawData[Error Details],RawData[Error Flag]&gt;0),ROWS(I$6:I63)),"")</f>
        <v/>
      </c>
      <c r="J63" s="6" t="str" cm="1">
        <f t="array" aca="1" ref="J63" ca="1">IFERROR(INDEX(_xlfn._xlws.FILTER(RawData[Recommended Action],RawData[Error Flag]&gt;0),ROWS(J$6:J63)),"")</f>
        <v/>
      </c>
      <c r="K63" t="str" cm="1">
        <f t="array" aca="1" ref="K63" ca="1">IFERROR(INDEX(_xlfn._xlws.FILTER(RawData[Severity],RawData[Error Flag]&gt;0),ROWS(K$6:K63)),"")</f>
        <v/>
      </c>
      <c r="L63" t="str" cm="1">
        <f t="array" aca="1" ref="L63" ca="1">IFERROR(INDEX(_xlfn._xlws.FILTER(RawData[Audit Status],RawData[Error Flag]&gt;0),ROWS(L$6:L63)),"")</f>
        <v/>
      </c>
    </row>
    <row r="64" spans="1:12" x14ac:dyDescent="0.25">
      <c r="A64" t="str" cm="1">
        <f t="array" aca="1" ref="A64" ca="1">IFERROR(INDEX(_xlfn._xlws.FILTER(RawData[Project Name],RawData[Error Flag]&gt;0),ROWS(A$6:A64)),"")</f>
        <v/>
      </c>
      <c r="B64" s="1" t="str" cm="1">
        <f t="array" aca="1" ref="B64" ca="1">IFERROR(INDEX(_xlfn._xlws.FILTER(RawData[Mobile],RawData[Error Flag]&gt;0),ROWS(B$6:B64)),"")</f>
        <v/>
      </c>
      <c r="C64" t="str" cm="1">
        <f t="array" aca="1" ref="C64" ca="1">IFERROR(INDEX(_xlfn._xlws.FILTER(RawData[Telecaller Name],RawData[Error Flag]&gt;0),ROWS(C$6:C64)),"")</f>
        <v/>
      </c>
      <c r="D64" s="2" t="str" cm="1">
        <f t="array" aca="1" ref="D64" ca="1">IFERROR(INDEX(_xlfn._xlws.FILTER(RawData[Lead Registration Date],RawData[Error Flag]&gt;0),ROWS(D$6:D64)),"")</f>
        <v/>
      </c>
      <c r="E64" t="str" cm="1">
        <f t="array" aca="1" ref="E64" ca="1">IFERROR(INDEX(_xlfn._xlws.FILTER(RawData[Lead Status],RawData[Error Flag]&gt;0),ROWS(E$6:E64)),"")</f>
        <v/>
      </c>
      <c r="F64" t="str" cm="1">
        <f t="array" aca="1" ref="F64" ca="1">IFERROR(INDEX(_xlfn._xlws.FILTER(RawData[Status],RawData[Error Flag]&gt;0),ROWS(F$6:F64)),"")</f>
        <v/>
      </c>
      <c r="G64" s="6" t="str" cm="1">
        <f t="array" aca="1" ref="G64" ca="1">IFERROR(INDEX(_xlfn._xlws.FILTER(RawData[Comments],RawData[Error Flag]&gt;0),ROWS(G$6:G64)),"")</f>
        <v/>
      </c>
      <c r="H64" s="6" t="str" cm="1">
        <f t="array" aca="1" ref="H64" ca="1">IFERROR(INDEX(_xlfn._xlws.FILTER(RawData[Error Type],RawData[Error Flag]&gt;0),ROWS(H$6:H64)),"")</f>
        <v/>
      </c>
      <c r="I64" s="6" t="str" cm="1">
        <f t="array" aca="1" ref="I64" ca="1">IFERROR(INDEX(_xlfn._xlws.FILTER(RawData[Error Details],RawData[Error Flag]&gt;0),ROWS(I$6:I64)),"")</f>
        <v/>
      </c>
      <c r="J64" s="6" t="str" cm="1">
        <f t="array" aca="1" ref="J64" ca="1">IFERROR(INDEX(_xlfn._xlws.FILTER(RawData[Recommended Action],RawData[Error Flag]&gt;0),ROWS(J$6:J64)),"")</f>
        <v/>
      </c>
      <c r="K64" t="str" cm="1">
        <f t="array" aca="1" ref="K64" ca="1">IFERROR(INDEX(_xlfn._xlws.FILTER(RawData[Severity],RawData[Error Flag]&gt;0),ROWS(K$6:K64)),"")</f>
        <v/>
      </c>
      <c r="L64" t="str" cm="1">
        <f t="array" aca="1" ref="L64" ca="1">IFERROR(INDEX(_xlfn._xlws.FILTER(RawData[Audit Status],RawData[Error Flag]&gt;0),ROWS(L$6:L64)),"")</f>
        <v/>
      </c>
    </row>
    <row r="65" spans="1:12" x14ac:dyDescent="0.25">
      <c r="A65" t="str" cm="1">
        <f t="array" aca="1" ref="A65" ca="1">IFERROR(INDEX(_xlfn._xlws.FILTER(RawData[Project Name],RawData[Error Flag]&gt;0),ROWS(A$6:A65)),"")</f>
        <v/>
      </c>
      <c r="B65" s="1" t="str" cm="1">
        <f t="array" aca="1" ref="B65" ca="1">IFERROR(INDEX(_xlfn._xlws.FILTER(RawData[Mobile],RawData[Error Flag]&gt;0),ROWS(B$6:B65)),"")</f>
        <v/>
      </c>
      <c r="C65" t="str" cm="1">
        <f t="array" aca="1" ref="C65" ca="1">IFERROR(INDEX(_xlfn._xlws.FILTER(RawData[Telecaller Name],RawData[Error Flag]&gt;0),ROWS(C$6:C65)),"")</f>
        <v/>
      </c>
      <c r="D65" s="2" t="str" cm="1">
        <f t="array" aca="1" ref="D65" ca="1">IFERROR(INDEX(_xlfn._xlws.FILTER(RawData[Lead Registration Date],RawData[Error Flag]&gt;0),ROWS(D$6:D65)),"")</f>
        <v/>
      </c>
      <c r="E65" t="str" cm="1">
        <f t="array" aca="1" ref="E65" ca="1">IFERROR(INDEX(_xlfn._xlws.FILTER(RawData[Lead Status],RawData[Error Flag]&gt;0),ROWS(E$6:E65)),"")</f>
        <v/>
      </c>
      <c r="F65" t="str" cm="1">
        <f t="array" aca="1" ref="F65" ca="1">IFERROR(INDEX(_xlfn._xlws.FILTER(RawData[Status],RawData[Error Flag]&gt;0),ROWS(F$6:F65)),"")</f>
        <v/>
      </c>
      <c r="G65" s="6" t="str" cm="1">
        <f t="array" aca="1" ref="G65" ca="1">IFERROR(INDEX(_xlfn._xlws.FILTER(RawData[Comments],RawData[Error Flag]&gt;0),ROWS(G$6:G65)),"")</f>
        <v/>
      </c>
      <c r="H65" s="6" t="str" cm="1">
        <f t="array" aca="1" ref="H65" ca="1">IFERROR(INDEX(_xlfn._xlws.FILTER(RawData[Error Type],RawData[Error Flag]&gt;0),ROWS(H$6:H65)),"")</f>
        <v/>
      </c>
      <c r="I65" s="6" t="str" cm="1">
        <f t="array" aca="1" ref="I65" ca="1">IFERROR(INDEX(_xlfn._xlws.FILTER(RawData[Error Details],RawData[Error Flag]&gt;0),ROWS(I$6:I65)),"")</f>
        <v/>
      </c>
      <c r="J65" s="6" t="str" cm="1">
        <f t="array" aca="1" ref="J65" ca="1">IFERROR(INDEX(_xlfn._xlws.FILTER(RawData[Recommended Action],RawData[Error Flag]&gt;0),ROWS(J$6:J65)),"")</f>
        <v/>
      </c>
      <c r="K65" t="str" cm="1">
        <f t="array" aca="1" ref="K65" ca="1">IFERROR(INDEX(_xlfn._xlws.FILTER(RawData[Severity],RawData[Error Flag]&gt;0),ROWS(K$6:K65)),"")</f>
        <v/>
      </c>
      <c r="L65" t="str" cm="1">
        <f t="array" aca="1" ref="L65" ca="1">IFERROR(INDEX(_xlfn._xlws.FILTER(RawData[Audit Status],RawData[Error Flag]&gt;0),ROWS(L$6:L65)),"")</f>
        <v/>
      </c>
    </row>
    <row r="66" spans="1:12" x14ac:dyDescent="0.25">
      <c r="A66" t="str" cm="1">
        <f t="array" aca="1" ref="A66" ca="1">IFERROR(INDEX(_xlfn._xlws.FILTER(RawData[Project Name],RawData[Error Flag]&gt;0),ROWS(A$6:A66)),"")</f>
        <v/>
      </c>
      <c r="B66" s="1" t="str" cm="1">
        <f t="array" aca="1" ref="B66" ca="1">IFERROR(INDEX(_xlfn._xlws.FILTER(RawData[Mobile],RawData[Error Flag]&gt;0),ROWS(B$6:B66)),"")</f>
        <v/>
      </c>
      <c r="C66" t="str" cm="1">
        <f t="array" aca="1" ref="C66" ca="1">IFERROR(INDEX(_xlfn._xlws.FILTER(RawData[Telecaller Name],RawData[Error Flag]&gt;0),ROWS(C$6:C66)),"")</f>
        <v/>
      </c>
      <c r="D66" s="2" t="str" cm="1">
        <f t="array" aca="1" ref="D66" ca="1">IFERROR(INDEX(_xlfn._xlws.FILTER(RawData[Lead Registration Date],RawData[Error Flag]&gt;0),ROWS(D$6:D66)),"")</f>
        <v/>
      </c>
      <c r="E66" t="str" cm="1">
        <f t="array" aca="1" ref="E66" ca="1">IFERROR(INDEX(_xlfn._xlws.FILTER(RawData[Lead Status],RawData[Error Flag]&gt;0),ROWS(E$6:E66)),"")</f>
        <v/>
      </c>
      <c r="F66" t="str" cm="1">
        <f t="array" aca="1" ref="F66" ca="1">IFERROR(INDEX(_xlfn._xlws.FILTER(RawData[Status],RawData[Error Flag]&gt;0),ROWS(F$6:F66)),"")</f>
        <v/>
      </c>
      <c r="G66" s="6" t="str" cm="1">
        <f t="array" aca="1" ref="G66" ca="1">IFERROR(INDEX(_xlfn._xlws.FILTER(RawData[Comments],RawData[Error Flag]&gt;0),ROWS(G$6:G66)),"")</f>
        <v/>
      </c>
      <c r="H66" s="6" t="str" cm="1">
        <f t="array" aca="1" ref="H66" ca="1">IFERROR(INDEX(_xlfn._xlws.FILTER(RawData[Error Type],RawData[Error Flag]&gt;0),ROWS(H$6:H66)),"")</f>
        <v/>
      </c>
      <c r="I66" s="6" t="str" cm="1">
        <f t="array" aca="1" ref="I66" ca="1">IFERROR(INDEX(_xlfn._xlws.FILTER(RawData[Error Details],RawData[Error Flag]&gt;0),ROWS(I$6:I66)),"")</f>
        <v/>
      </c>
      <c r="J66" s="6" t="str" cm="1">
        <f t="array" aca="1" ref="J66" ca="1">IFERROR(INDEX(_xlfn._xlws.FILTER(RawData[Recommended Action],RawData[Error Flag]&gt;0),ROWS(J$6:J66)),"")</f>
        <v/>
      </c>
      <c r="K66" t="str" cm="1">
        <f t="array" aca="1" ref="K66" ca="1">IFERROR(INDEX(_xlfn._xlws.FILTER(RawData[Severity],RawData[Error Flag]&gt;0),ROWS(K$6:K66)),"")</f>
        <v/>
      </c>
      <c r="L66" t="str" cm="1">
        <f t="array" aca="1" ref="L66" ca="1">IFERROR(INDEX(_xlfn._xlws.FILTER(RawData[Audit Status],RawData[Error Flag]&gt;0),ROWS(L$6:L66)),"")</f>
        <v/>
      </c>
    </row>
    <row r="67" spans="1:12" x14ac:dyDescent="0.25">
      <c r="A67" t="str" cm="1">
        <f t="array" aca="1" ref="A67" ca="1">IFERROR(INDEX(_xlfn._xlws.FILTER(RawData[Project Name],RawData[Error Flag]&gt;0),ROWS(A$6:A67)),"")</f>
        <v/>
      </c>
      <c r="B67" s="1" t="str" cm="1">
        <f t="array" aca="1" ref="B67" ca="1">IFERROR(INDEX(_xlfn._xlws.FILTER(RawData[Mobile],RawData[Error Flag]&gt;0),ROWS(B$6:B67)),"")</f>
        <v/>
      </c>
      <c r="C67" t="str" cm="1">
        <f t="array" aca="1" ref="C67" ca="1">IFERROR(INDEX(_xlfn._xlws.FILTER(RawData[Telecaller Name],RawData[Error Flag]&gt;0),ROWS(C$6:C67)),"")</f>
        <v/>
      </c>
      <c r="D67" s="2" t="str" cm="1">
        <f t="array" aca="1" ref="D67" ca="1">IFERROR(INDEX(_xlfn._xlws.FILTER(RawData[Lead Registration Date],RawData[Error Flag]&gt;0),ROWS(D$6:D67)),"")</f>
        <v/>
      </c>
      <c r="E67" t="str" cm="1">
        <f t="array" aca="1" ref="E67" ca="1">IFERROR(INDEX(_xlfn._xlws.FILTER(RawData[Lead Status],RawData[Error Flag]&gt;0),ROWS(E$6:E67)),"")</f>
        <v/>
      </c>
      <c r="F67" t="str" cm="1">
        <f t="array" aca="1" ref="F67" ca="1">IFERROR(INDEX(_xlfn._xlws.FILTER(RawData[Status],RawData[Error Flag]&gt;0),ROWS(F$6:F67)),"")</f>
        <v/>
      </c>
      <c r="G67" s="6" t="str" cm="1">
        <f t="array" aca="1" ref="G67" ca="1">IFERROR(INDEX(_xlfn._xlws.FILTER(RawData[Comments],RawData[Error Flag]&gt;0),ROWS(G$6:G67)),"")</f>
        <v/>
      </c>
      <c r="H67" s="6" t="str" cm="1">
        <f t="array" aca="1" ref="H67" ca="1">IFERROR(INDEX(_xlfn._xlws.FILTER(RawData[Error Type],RawData[Error Flag]&gt;0),ROWS(H$6:H67)),"")</f>
        <v/>
      </c>
      <c r="I67" s="6" t="str" cm="1">
        <f t="array" aca="1" ref="I67" ca="1">IFERROR(INDEX(_xlfn._xlws.FILTER(RawData[Error Details],RawData[Error Flag]&gt;0),ROWS(I$6:I67)),"")</f>
        <v/>
      </c>
      <c r="J67" s="6" t="str" cm="1">
        <f t="array" aca="1" ref="J67" ca="1">IFERROR(INDEX(_xlfn._xlws.FILTER(RawData[Recommended Action],RawData[Error Flag]&gt;0),ROWS(J$6:J67)),"")</f>
        <v/>
      </c>
      <c r="K67" t="str" cm="1">
        <f t="array" aca="1" ref="K67" ca="1">IFERROR(INDEX(_xlfn._xlws.FILTER(RawData[Severity],RawData[Error Flag]&gt;0),ROWS(K$6:K67)),"")</f>
        <v/>
      </c>
      <c r="L67" t="str" cm="1">
        <f t="array" aca="1" ref="L67" ca="1">IFERROR(INDEX(_xlfn._xlws.FILTER(RawData[Audit Status],RawData[Error Flag]&gt;0),ROWS(L$6:L67)),"")</f>
        <v/>
      </c>
    </row>
    <row r="68" spans="1:12" x14ac:dyDescent="0.25">
      <c r="A68" t="str" cm="1">
        <f t="array" aca="1" ref="A68" ca="1">IFERROR(INDEX(_xlfn._xlws.FILTER(RawData[Project Name],RawData[Error Flag]&gt;0),ROWS(A$6:A68)),"")</f>
        <v/>
      </c>
      <c r="B68" s="1" t="str" cm="1">
        <f t="array" aca="1" ref="B68" ca="1">IFERROR(INDEX(_xlfn._xlws.FILTER(RawData[Mobile],RawData[Error Flag]&gt;0),ROWS(B$6:B68)),"")</f>
        <v/>
      </c>
      <c r="C68" t="str" cm="1">
        <f t="array" aca="1" ref="C68" ca="1">IFERROR(INDEX(_xlfn._xlws.FILTER(RawData[Telecaller Name],RawData[Error Flag]&gt;0),ROWS(C$6:C68)),"")</f>
        <v/>
      </c>
      <c r="D68" s="2" t="str" cm="1">
        <f t="array" aca="1" ref="D68" ca="1">IFERROR(INDEX(_xlfn._xlws.FILTER(RawData[Lead Registration Date],RawData[Error Flag]&gt;0),ROWS(D$6:D68)),"")</f>
        <v/>
      </c>
      <c r="E68" t="str" cm="1">
        <f t="array" aca="1" ref="E68" ca="1">IFERROR(INDEX(_xlfn._xlws.FILTER(RawData[Lead Status],RawData[Error Flag]&gt;0),ROWS(E$6:E68)),"")</f>
        <v/>
      </c>
      <c r="F68" t="str" cm="1">
        <f t="array" aca="1" ref="F68" ca="1">IFERROR(INDEX(_xlfn._xlws.FILTER(RawData[Status],RawData[Error Flag]&gt;0),ROWS(F$6:F68)),"")</f>
        <v/>
      </c>
      <c r="G68" s="6" t="str" cm="1">
        <f t="array" aca="1" ref="G68" ca="1">IFERROR(INDEX(_xlfn._xlws.FILTER(RawData[Comments],RawData[Error Flag]&gt;0),ROWS(G$6:G68)),"")</f>
        <v/>
      </c>
      <c r="H68" s="6" t="str" cm="1">
        <f t="array" aca="1" ref="H68" ca="1">IFERROR(INDEX(_xlfn._xlws.FILTER(RawData[Error Type],RawData[Error Flag]&gt;0),ROWS(H$6:H68)),"")</f>
        <v/>
      </c>
      <c r="I68" s="6" t="str" cm="1">
        <f t="array" aca="1" ref="I68" ca="1">IFERROR(INDEX(_xlfn._xlws.FILTER(RawData[Error Details],RawData[Error Flag]&gt;0),ROWS(I$6:I68)),"")</f>
        <v/>
      </c>
      <c r="J68" s="6" t="str" cm="1">
        <f t="array" aca="1" ref="J68" ca="1">IFERROR(INDEX(_xlfn._xlws.FILTER(RawData[Recommended Action],RawData[Error Flag]&gt;0),ROWS(J$6:J68)),"")</f>
        <v/>
      </c>
      <c r="K68" t="str" cm="1">
        <f t="array" aca="1" ref="K68" ca="1">IFERROR(INDEX(_xlfn._xlws.FILTER(RawData[Severity],RawData[Error Flag]&gt;0),ROWS(K$6:K68)),"")</f>
        <v/>
      </c>
      <c r="L68" t="str" cm="1">
        <f t="array" aca="1" ref="L68" ca="1">IFERROR(INDEX(_xlfn._xlws.FILTER(RawData[Audit Status],RawData[Error Flag]&gt;0),ROWS(L$6:L68)),"")</f>
        <v/>
      </c>
    </row>
    <row r="69" spans="1:12" x14ac:dyDescent="0.25">
      <c r="A69" t="str" cm="1">
        <f t="array" aca="1" ref="A69" ca="1">IFERROR(INDEX(_xlfn._xlws.FILTER(RawData[Project Name],RawData[Error Flag]&gt;0),ROWS(A$6:A69)),"")</f>
        <v/>
      </c>
      <c r="B69" s="1" t="str" cm="1">
        <f t="array" aca="1" ref="B69" ca="1">IFERROR(INDEX(_xlfn._xlws.FILTER(RawData[Mobile],RawData[Error Flag]&gt;0),ROWS(B$6:B69)),"")</f>
        <v/>
      </c>
      <c r="C69" t="str" cm="1">
        <f t="array" aca="1" ref="C69" ca="1">IFERROR(INDEX(_xlfn._xlws.FILTER(RawData[Telecaller Name],RawData[Error Flag]&gt;0),ROWS(C$6:C69)),"")</f>
        <v/>
      </c>
      <c r="D69" s="2" t="str" cm="1">
        <f t="array" aca="1" ref="D69" ca="1">IFERROR(INDEX(_xlfn._xlws.FILTER(RawData[Lead Registration Date],RawData[Error Flag]&gt;0),ROWS(D$6:D69)),"")</f>
        <v/>
      </c>
      <c r="E69" t="str" cm="1">
        <f t="array" aca="1" ref="E69" ca="1">IFERROR(INDEX(_xlfn._xlws.FILTER(RawData[Lead Status],RawData[Error Flag]&gt;0),ROWS(E$6:E69)),"")</f>
        <v/>
      </c>
      <c r="F69" t="str" cm="1">
        <f t="array" aca="1" ref="F69" ca="1">IFERROR(INDEX(_xlfn._xlws.FILTER(RawData[Status],RawData[Error Flag]&gt;0),ROWS(F$6:F69)),"")</f>
        <v/>
      </c>
      <c r="G69" s="6" t="str" cm="1">
        <f t="array" aca="1" ref="G69" ca="1">IFERROR(INDEX(_xlfn._xlws.FILTER(RawData[Comments],RawData[Error Flag]&gt;0),ROWS(G$6:G69)),"")</f>
        <v/>
      </c>
      <c r="H69" s="6" t="str" cm="1">
        <f t="array" aca="1" ref="H69" ca="1">IFERROR(INDEX(_xlfn._xlws.FILTER(RawData[Error Type],RawData[Error Flag]&gt;0),ROWS(H$6:H69)),"")</f>
        <v/>
      </c>
      <c r="I69" s="6" t="str" cm="1">
        <f t="array" aca="1" ref="I69" ca="1">IFERROR(INDEX(_xlfn._xlws.FILTER(RawData[Error Details],RawData[Error Flag]&gt;0),ROWS(I$6:I69)),"")</f>
        <v/>
      </c>
      <c r="J69" s="6" t="str" cm="1">
        <f t="array" aca="1" ref="J69" ca="1">IFERROR(INDEX(_xlfn._xlws.FILTER(RawData[Recommended Action],RawData[Error Flag]&gt;0),ROWS(J$6:J69)),"")</f>
        <v/>
      </c>
      <c r="K69" t="str" cm="1">
        <f t="array" aca="1" ref="K69" ca="1">IFERROR(INDEX(_xlfn._xlws.FILTER(RawData[Severity],RawData[Error Flag]&gt;0),ROWS(K$6:K69)),"")</f>
        <v/>
      </c>
      <c r="L69" t="str" cm="1">
        <f t="array" aca="1" ref="L69" ca="1">IFERROR(INDEX(_xlfn._xlws.FILTER(RawData[Audit Status],RawData[Error Flag]&gt;0),ROWS(L$6:L69)),"")</f>
        <v/>
      </c>
    </row>
    <row r="70" spans="1:12" x14ac:dyDescent="0.25">
      <c r="A70" t="str" cm="1">
        <f t="array" aca="1" ref="A70" ca="1">IFERROR(INDEX(_xlfn._xlws.FILTER(RawData[Project Name],RawData[Error Flag]&gt;0),ROWS(A$6:A70)),"")</f>
        <v/>
      </c>
      <c r="B70" s="1" t="str" cm="1">
        <f t="array" aca="1" ref="B70" ca="1">IFERROR(INDEX(_xlfn._xlws.FILTER(RawData[Mobile],RawData[Error Flag]&gt;0),ROWS(B$6:B70)),"")</f>
        <v/>
      </c>
      <c r="C70" t="str" cm="1">
        <f t="array" aca="1" ref="C70" ca="1">IFERROR(INDEX(_xlfn._xlws.FILTER(RawData[Telecaller Name],RawData[Error Flag]&gt;0),ROWS(C$6:C70)),"")</f>
        <v/>
      </c>
      <c r="D70" s="2" t="str" cm="1">
        <f t="array" aca="1" ref="D70" ca="1">IFERROR(INDEX(_xlfn._xlws.FILTER(RawData[Lead Registration Date],RawData[Error Flag]&gt;0),ROWS(D$6:D70)),"")</f>
        <v/>
      </c>
      <c r="E70" t="str" cm="1">
        <f t="array" aca="1" ref="E70" ca="1">IFERROR(INDEX(_xlfn._xlws.FILTER(RawData[Lead Status],RawData[Error Flag]&gt;0),ROWS(E$6:E70)),"")</f>
        <v/>
      </c>
      <c r="F70" t="str" cm="1">
        <f t="array" aca="1" ref="F70" ca="1">IFERROR(INDEX(_xlfn._xlws.FILTER(RawData[Status],RawData[Error Flag]&gt;0),ROWS(F$6:F70)),"")</f>
        <v/>
      </c>
      <c r="G70" s="6" t="str" cm="1">
        <f t="array" aca="1" ref="G70" ca="1">IFERROR(INDEX(_xlfn._xlws.FILTER(RawData[Comments],RawData[Error Flag]&gt;0),ROWS(G$6:G70)),"")</f>
        <v/>
      </c>
      <c r="H70" s="6" t="str" cm="1">
        <f t="array" aca="1" ref="H70" ca="1">IFERROR(INDEX(_xlfn._xlws.FILTER(RawData[Error Type],RawData[Error Flag]&gt;0),ROWS(H$6:H70)),"")</f>
        <v/>
      </c>
      <c r="I70" s="6" t="str" cm="1">
        <f t="array" aca="1" ref="I70" ca="1">IFERROR(INDEX(_xlfn._xlws.FILTER(RawData[Error Details],RawData[Error Flag]&gt;0),ROWS(I$6:I70)),"")</f>
        <v/>
      </c>
      <c r="J70" s="6" t="str" cm="1">
        <f t="array" aca="1" ref="J70" ca="1">IFERROR(INDEX(_xlfn._xlws.FILTER(RawData[Recommended Action],RawData[Error Flag]&gt;0),ROWS(J$6:J70)),"")</f>
        <v/>
      </c>
      <c r="K70" t="str" cm="1">
        <f t="array" aca="1" ref="K70" ca="1">IFERROR(INDEX(_xlfn._xlws.FILTER(RawData[Severity],RawData[Error Flag]&gt;0),ROWS(K$6:K70)),"")</f>
        <v/>
      </c>
      <c r="L70" t="str" cm="1">
        <f t="array" aca="1" ref="L70" ca="1">IFERROR(INDEX(_xlfn._xlws.FILTER(RawData[Audit Status],RawData[Error Flag]&gt;0),ROWS(L$6:L70)),"")</f>
        <v/>
      </c>
    </row>
    <row r="71" spans="1:12" x14ac:dyDescent="0.25">
      <c r="A71" t="str" cm="1">
        <f t="array" aca="1" ref="A71" ca="1">IFERROR(INDEX(_xlfn._xlws.FILTER(RawData[Project Name],RawData[Error Flag]&gt;0),ROWS(A$6:A71)),"")</f>
        <v/>
      </c>
      <c r="B71" s="1" t="str" cm="1">
        <f t="array" aca="1" ref="B71" ca="1">IFERROR(INDEX(_xlfn._xlws.FILTER(RawData[Mobile],RawData[Error Flag]&gt;0),ROWS(B$6:B71)),"")</f>
        <v/>
      </c>
      <c r="C71" t="str" cm="1">
        <f t="array" aca="1" ref="C71" ca="1">IFERROR(INDEX(_xlfn._xlws.FILTER(RawData[Telecaller Name],RawData[Error Flag]&gt;0),ROWS(C$6:C71)),"")</f>
        <v/>
      </c>
      <c r="D71" s="2" t="str" cm="1">
        <f t="array" aca="1" ref="D71" ca="1">IFERROR(INDEX(_xlfn._xlws.FILTER(RawData[Lead Registration Date],RawData[Error Flag]&gt;0),ROWS(D$6:D71)),"")</f>
        <v/>
      </c>
      <c r="E71" t="str" cm="1">
        <f t="array" aca="1" ref="E71" ca="1">IFERROR(INDEX(_xlfn._xlws.FILTER(RawData[Lead Status],RawData[Error Flag]&gt;0),ROWS(E$6:E71)),"")</f>
        <v/>
      </c>
      <c r="F71" t="str" cm="1">
        <f t="array" aca="1" ref="F71" ca="1">IFERROR(INDEX(_xlfn._xlws.FILTER(RawData[Status],RawData[Error Flag]&gt;0),ROWS(F$6:F71)),"")</f>
        <v/>
      </c>
      <c r="G71" s="6" t="str" cm="1">
        <f t="array" aca="1" ref="G71" ca="1">IFERROR(INDEX(_xlfn._xlws.FILTER(RawData[Comments],RawData[Error Flag]&gt;0),ROWS(G$6:G71)),"")</f>
        <v/>
      </c>
      <c r="H71" s="6" t="str" cm="1">
        <f t="array" aca="1" ref="H71" ca="1">IFERROR(INDEX(_xlfn._xlws.FILTER(RawData[Error Type],RawData[Error Flag]&gt;0),ROWS(H$6:H71)),"")</f>
        <v/>
      </c>
      <c r="I71" s="6" t="str" cm="1">
        <f t="array" aca="1" ref="I71" ca="1">IFERROR(INDEX(_xlfn._xlws.FILTER(RawData[Error Details],RawData[Error Flag]&gt;0),ROWS(I$6:I71)),"")</f>
        <v/>
      </c>
      <c r="J71" s="6" t="str" cm="1">
        <f t="array" aca="1" ref="J71" ca="1">IFERROR(INDEX(_xlfn._xlws.FILTER(RawData[Recommended Action],RawData[Error Flag]&gt;0),ROWS(J$6:J71)),"")</f>
        <v/>
      </c>
      <c r="K71" t="str" cm="1">
        <f t="array" aca="1" ref="K71" ca="1">IFERROR(INDEX(_xlfn._xlws.FILTER(RawData[Severity],RawData[Error Flag]&gt;0),ROWS(K$6:K71)),"")</f>
        <v/>
      </c>
      <c r="L71" t="str" cm="1">
        <f t="array" aca="1" ref="L71" ca="1">IFERROR(INDEX(_xlfn._xlws.FILTER(RawData[Audit Status],RawData[Error Flag]&gt;0),ROWS(L$6:L71)),"")</f>
        <v/>
      </c>
    </row>
    <row r="72" spans="1:12" x14ac:dyDescent="0.25">
      <c r="A72" t="str" cm="1">
        <f t="array" aca="1" ref="A72" ca="1">IFERROR(INDEX(_xlfn._xlws.FILTER(RawData[Project Name],RawData[Error Flag]&gt;0),ROWS(A$6:A72)),"")</f>
        <v/>
      </c>
      <c r="B72" s="1" t="str" cm="1">
        <f t="array" aca="1" ref="B72" ca="1">IFERROR(INDEX(_xlfn._xlws.FILTER(RawData[Mobile],RawData[Error Flag]&gt;0),ROWS(B$6:B72)),"")</f>
        <v/>
      </c>
      <c r="C72" t="str" cm="1">
        <f t="array" aca="1" ref="C72" ca="1">IFERROR(INDEX(_xlfn._xlws.FILTER(RawData[Telecaller Name],RawData[Error Flag]&gt;0),ROWS(C$6:C72)),"")</f>
        <v/>
      </c>
      <c r="D72" s="2" t="str" cm="1">
        <f t="array" aca="1" ref="D72" ca="1">IFERROR(INDEX(_xlfn._xlws.FILTER(RawData[Lead Registration Date],RawData[Error Flag]&gt;0),ROWS(D$6:D72)),"")</f>
        <v/>
      </c>
      <c r="E72" t="str" cm="1">
        <f t="array" aca="1" ref="E72" ca="1">IFERROR(INDEX(_xlfn._xlws.FILTER(RawData[Lead Status],RawData[Error Flag]&gt;0),ROWS(E$6:E72)),"")</f>
        <v/>
      </c>
      <c r="F72" t="str" cm="1">
        <f t="array" aca="1" ref="F72" ca="1">IFERROR(INDEX(_xlfn._xlws.FILTER(RawData[Status],RawData[Error Flag]&gt;0),ROWS(F$6:F72)),"")</f>
        <v/>
      </c>
      <c r="G72" s="6" t="str" cm="1">
        <f t="array" aca="1" ref="G72" ca="1">IFERROR(INDEX(_xlfn._xlws.FILTER(RawData[Comments],RawData[Error Flag]&gt;0),ROWS(G$6:G72)),"")</f>
        <v/>
      </c>
      <c r="H72" s="6" t="str" cm="1">
        <f t="array" aca="1" ref="H72" ca="1">IFERROR(INDEX(_xlfn._xlws.FILTER(RawData[Error Type],RawData[Error Flag]&gt;0),ROWS(H$6:H72)),"")</f>
        <v/>
      </c>
      <c r="I72" s="6" t="str" cm="1">
        <f t="array" aca="1" ref="I72" ca="1">IFERROR(INDEX(_xlfn._xlws.FILTER(RawData[Error Details],RawData[Error Flag]&gt;0),ROWS(I$6:I72)),"")</f>
        <v/>
      </c>
      <c r="J72" s="6" t="str" cm="1">
        <f t="array" aca="1" ref="J72" ca="1">IFERROR(INDEX(_xlfn._xlws.FILTER(RawData[Recommended Action],RawData[Error Flag]&gt;0),ROWS(J$6:J72)),"")</f>
        <v/>
      </c>
      <c r="K72" t="str" cm="1">
        <f t="array" aca="1" ref="K72" ca="1">IFERROR(INDEX(_xlfn._xlws.FILTER(RawData[Severity],RawData[Error Flag]&gt;0),ROWS(K$6:K72)),"")</f>
        <v/>
      </c>
      <c r="L72" t="str" cm="1">
        <f t="array" aca="1" ref="L72" ca="1">IFERROR(INDEX(_xlfn._xlws.FILTER(RawData[Audit Status],RawData[Error Flag]&gt;0),ROWS(L$6:L72)),"")</f>
        <v/>
      </c>
    </row>
    <row r="73" spans="1:12" x14ac:dyDescent="0.25">
      <c r="A73" t="str" cm="1">
        <f t="array" aca="1" ref="A73" ca="1">IFERROR(INDEX(_xlfn._xlws.FILTER(RawData[Project Name],RawData[Error Flag]&gt;0),ROWS(A$6:A73)),"")</f>
        <v/>
      </c>
      <c r="B73" s="1" t="str" cm="1">
        <f t="array" aca="1" ref="B73" ca="1">IFERROR(INDEX(_xlfn._xlws.FILTER(RawData[Mobile],RawData[Error Flag]&gt;0),ROWS(B$6:B73)),"")</f>
        <v/>
      </c>
      <c r="C73" t="str" cm="1">
        <f t="array" aca="1" ref="C73" ca="1">IFERROR(INDEX(_xlfn._xlws.FILTER(RawData[Telecaller Name],RawData[Error Flag]&gt;0),ROWS(C$6:C73)),"")</f>
        <v/>
      </c>
      <c r="D73" s="2" t="str" cm="1">
        <f t="array" aca="1" ref="D73" ca="1">IFERROR(INDEX(_xlfn._xlws.FILTER(RawData[Lead Registration Date],RawData[Error Flag]&gt;0),ROWS(D$6:D73)),"")</f>
        <v/>
      </c>
      <c r="E73" t="str" cm="1">
        <f t="array" aca="1" ref="E73" ca="1">IFERROR(INDEX(_xlfn._xlws.FILTER(RawData[Lead Status],RawData[Error Flag]&gt;0),ROWS(E$6:E73)),"")</f>
        <v/>
      </c>
      <c r="F73" t="str" cm="1">
        <f t="array" aca="1" ref="F73" ca="1">IFERROR(INDEX(_xlfn._xlws.FILTER(RawData[Status],RawData[Error Flag]&gt;0),ROWS(F$6:F73)),"")</f>
        <v/>
      </c>
      <c r="G73" s="6" t="str" cm="1">
        <f t="array" aca="1" ref="G73" ca="1">IFERROR(INDEX(_xlfn._xlws.FILTER(RawData[Comments],RawData[Error Flag]&gt;0),ROWS(G$6:G73)),"")</f>
        <v/>
      </c>
      <c r="H73" s="6" t="str" cm="1">
        <f t="array" aca="1" ref="H73" ca="1">IFERROR(INDEX(_xlfn._xlws.FILTER(RawData[Error Type],RawData[Error Flag]&gt;0),ROWS(H$6:H73)),"")</f>
        <v/>
      </c>
      <c r="I73" s="6" t="str" cm="1">
        <f t="array" aca="1" ref="I73" ca="1">IFERROR(INDEX(_xlfn._xlws.FILTER(RawData[Error Details],RawData[Error Flag]&gt;0),ROWS(I$6:I73)),"")</f>
        <v/>
      </c>
      <c r="J73" s="6" t="str" cm="1">
        <f t="array" aca="1" ref="J73" ca="1">IFERROR(INDEX(_xlfn._xlws.FILTER(RawData[Recommended Action],RawData[Error Flag]&gt;0),ROWS(J$6:J73)),"")</f>
        <v/>
      </c>
      <c r="K73" t="str" cm="1">
        <f t="array" aca="1" ref="K73" ca="1">IFERROR(INDEX(_xlfn._xlws.FILTER(RawData[Severity],RawData[Error Flag]&gt;0),ROWS(K$6:K73)),"")</f>
        <v/>
      </c>
      <c r="L73" t="str" cm="1">
        <f t="array" aca="1" ref="L73" ca="1">IFERROR(INDEX(_xlfn._xlws.FILTER(RawData[Audit Status],RawData[Error Flag]&gt;0),ROWS(L$6:L73)),"")</f>
        <v/>
      </c>
    </row>
    <row r="74" spans="1:12" x14ac:dyDescent="0.25">
      <c r="A74" t="str" cm="1">
        <f t="array" aca="1" ref="A74" ca="1">IFERROR(INDEX(_xlfn._xlws.FILTER(RawData[Project Name],RawData[Error Flag]&gt;0),ROWS(A$6:A74)),"")</f>
        <v/>
      </c>
      <c r="B74" s="1" t="str" cm="1">
        <f t="array" aca="1" ref="B74" ca="1">IFERROR(INDEX(_xlfn._xlws.FILTER(RawData[Mobile],RawData[Error Flag]&gt;0),ROWS(B$6:B74)),"")</f>
        <v/>
      </c>
      <c r="C74" t="str" cm="1">
        <f t="array" aca="1" ref="C74" ca="1">IFERROR(INDEX(_xlfn._xlws.FILTER(RawData[Telecaller Name],RawData[Error Flag]&gt;0),ROWS(C$6:C74)),"")</f>
        <v/>
      </c>
      <c r="D74" s="2" t="str" cm="1">
        <f t="array" aca="1" ref="D74" ca="1">IFERROR(INDEX(_xlfn._xlws.FILTER(RawData[Lead Registration Date],RawData[Error Flag]&gt;0),ROWS(D$6:D74)),"")</f>
        <v/>
      </c>
      <c r="E74" t="str" cm="1">
        <f t="array" aca="1" ref="E74" ca="1">IFERROR(INDEX(_xlfn._xlws.FILTER(RawData[Lead Status],RawData[Error Flag]&gt;0),ROWS(E$6:E74)),"")</f>
        <v/>
      </c>
      <c r="F74" t="str" cm="1">
        <f t="array" aca="1" ref="F74" ca="1">IFERROR(INDEX(_xlfn._xlws.FILTER(RawData[Status],RawData[Error Flag]&gt;0),ROWS(F$6:F74)),"")</f>
        <v/>
      </c>
      <c r="G74" s="6" t="str" cm="1">
        <f t="array" aca="1" ref="G74" ca="1">IFERROR(INDEX(_xlfn._xlws.FILTER(RawData[Comments],RawData[Error Flag]&gt;0),ROWS(G$6:G74)),"")</f>
        <v/>
      </c>
      <c r="H74" s="6" t="str" cm="1">
        <f t="array" aca="1" ref="H74" ca="1">IFERROR(INDEX(_xlfn._xlws.FILTER(RawData[Error Type],RawData[Error Flag]&gt;0),ROWS(H$6:H74)),"")</f>
        <v/>
      </c>
      <c r="I74" s="6" t="str" cm="1">
        <f t="array" aca="1" ref="I74" ca="1">IFERROR(INDEX(_xlfn._xlws.FILTER(RawData[Error Details],RawData[Error Flag]&gt;0),ROWS(I$6:I74)),"")</f>
        <v/>
      </c>
      <c r="J74" s="6" t="str" cm="1">
        <f t="array" aca="1" ref="J74" ca="1">IFERROR(INDEX(_xlfn._xlws.FILTER(RawData[Recommended Action],RawData[Error Flag]&gt;0),ROWS(J$6:J74)),"")</f>
        <v/>
      </c>
      <c r="K74" t="str" cm="1">
        <f t="array" aca="1" ref="K74" ca="1">IFERROR(INDEX(_xlfn._xlws.FILTER(RawData[Severity],RawData[Error Flag]&gt;0),ROWS(K$6:K74)),"")</f>
        <v/>
      </c>
      <c r="L74" t="str" cm="1">
        <f t="array" aca="1" ref="L74" ca="1">IFERROR(INDEX(_xlfn._xlws.FILTER(RawData[Audit Status],RawData[Error Flag]&gt;0),ROWS(L$6:L74)),"")</f>
        <v/>
      </c>
    </row>
    <row r="75" spans="1:12" x14ac:dyDescent="0.25">
      <c r="A75" t="str" cm="1">
        <f t="array" aca="1" ref="A75" ca="1">IFERROR(INDEX(_xlfn._xlws.FILTER(RawData[Project Name],RawData[Error Flag]&gt;0),ROWS(A$6:A75)),"")</f>
        <v/>
      </c>
      <c r="B75" s="1" t="str" cm="1">
        <f t="array" aca="1" ref="B75" ca="1">IFERROR(INDEX(_xlfn._xlws.FILTER(RawData[Mobile],RawData[Error Flag]&gt;0),ROWS(B$6:B75)),"")</f>
        <v/>
      </c>
      <c r="C75" t="str" cm="1">
        <f t="array" aca="1" ref="C75" ca="1">IFERROR(INDEX(_xlfn._xlws.FILTER(RawData[Telecaller Name],RawData[Error Flag]&gt;0),ROWS(C$6:C75)),"")</f>
        <v/>
      </c>
      <c r="D75" s="2" t="str" cm="1">
        <f t="array" aca="1" ref="D75" ca="1">IFERROR(INDEX(_xlfn._xlws.FILTER(RawData[Lead Registration Date],RawData[Error Flag]&gt;0),ROWS(D$6:D75)),"")</f>
        <v/>
      </c>
      <c r="E75" t="str" cm="1">
        <f t="array" aca="1" ref="E75" ca="1">IFERROR(INDEX(_xlfn._xlws.FILTER(RawData[Lead Status],RawData[Error Flag]&gt;0),ROWS(E$6:E75)),"")</f>
        <v/>
      </c>
      <c r="F75" t="str" cm="1">
        <f t="array" aca="1" ref="F75" ca="1">IFERROR(INDEX(_xlfn._xlws.FILTER(RawData[Status],RawData[Error Flag]&gt;0),ROWS(F$6:F75)),"")</f>
        <v/>
      </c>
      <c r="G75" s="6" t="str" cm="1">
        <f t="array" aca="1" ref="G75" ca="1">IFERROR(INDEX(_xlfn._xlws.FILTER(RawData[Comments],RawData[Error Flag]&gt;0),ROWS(G$6:G75)),"")</f>
        <v/>
      </c>
      <c r="H75" s="6" t="str" cm="1">
        <f t="array" aca="1" ref="H75" ca="1">IFERROR(INDEX(_xlfn._xlws.FILTER(RawData[Error Type],RawData[Error Flag]&gt;0),ROWS(H$6:H75)),"")</f>
        <v/>
      </c>
      <c r="I75" s="6" t="str" cm="1">
        <f t="array" aca="1" ref="I75" ca="1">IFERROR(INDEX(_xlfn._xlws.FILTER(RawData[Error Details],RawData[Error Flag]&gt;0),ROWS(I$6:I75)),"")</f>
        <v/>
      </c>
      <c r="J75" s="6" t="str" cm="1">
        <f t="array" aca="1" ref="J75" ca="1">IFERROR(INDEX(_xlfn._xlws.FILTER(RawData[Recommended Action],RawData[Error Flag]&gt;0),ROWS(J$6:J75)),"")</f>
        <v/>
      </c>
      <c r="K75" t="str" cm="1">
        <f t="array" aca="1" ref="K75" ca="1">IFERROR(INDEX(_xlfn._xlws.FILTER(RawData[Severity],RawData[Error Flag]&gt;0),ROWS(K$6:K75)),"")</f>
        <v/>
      </c>
      <c r="L75" t="str" cm="1">
        <f t="array" aca="1" ref="L75" ca="1">IFERROR(INDEX(_xlfn._xlws.FILTER(RawData[Audit Status],RawData[Error Flag]&gt;0),ROWS(L$6:L75)),"")</f>
        <v/>
      </c>
    </row>
    <row r="76" spans="1:12" x14ac:dyDescent="0.25">
      <c r="A76" t="str" cm="1">
        <f t="array" aca="1" ref="A76" ca="1">IFERROR(INDEX(_xlfn._xlws.FILTER(RawData[Project Name],RawData[Error Flag]&gt;0),ROWS(A$6:A76)),"")</f>
        <v/>
      </c>
      <c r="B76" s="1" t="str" cm="1">
        <f t="array" aca="1" ref="B76" ca="1">IFERROR(INDEX(_xlfn._xlws.FILTER(RawData[Mobile],RawData[Error Flag]&gt;0),ROWS(B$6:B76)),"")</f>
        <v/>
      </c>
      <c r="C76" t="str" cm="1">
        <f t="array" aca="1" ref="C76" ca="1">IFERROR(INDEX(_xlfn._xlws.FILTER(RawData[Telecaller Name],RawData[Error Flag]&gt;0),ROWS(C$6:C76)),"")</f>
        <v/>
      </c>
      <c r="D76" s="2" t="str" cm="1">
        <f t="array" aca="1" ref="D76" ca="1">IFERROR(INDEX(_xlfn._xlws.FILTER(RawData[Lead Registration Date],RawData[Error Flag]&gt;0),ROWS(D$6:D76)),"")</f>
        <v/>
      </c>
      <c r="E76" t="str" cm="1">
        <f t="array" aca="1" ref="E76" ca="1">IFERROR(INDEX(_xlfn._xlws.FILTER(RawData[Lead Status],RawData[Error Flag]&gt;0),ROWS(E$6:E76)),"")</f>
        <v/>
      </c>
      <c r="F76" t="str" cm="1">
        <f t="array" aca="1" ref="F76" ca="1">IFERROR(INDEX(_xlfn._xlws.FILTER(RawData[Status],RawData[Error Flag]&gt;0),ROWS(F$6:F76)),"")</f>
        <v/>
      </c>
      <c r="G76" s="6" t="str" cm="1">
        <f t="array" aca="1" ref="G76" ca="1">IFERROR(INDEX(_xlfn._xlws.FILTER(RawData[Comments],RawData[Error Flag]&gt;0),ROWS(G$6:G76)),"")</f>
        <v/>
      </c>
      <c r="H76" s="6" t="str" cm="1">
        <f t="array" aca="1" ref="H76" ca="1">IFERROR(INDEX(_xlfn._xlws.FILTER(RawData[Error Type],RawData[Error Flag]&gt;0),ROWS(H$6:H76)),"")</f>
        <v/>
      </c>
      <c r="I76" s="6" t="str" cm="1">
        <f t="array" aca="1" ref="I76" ca="1">IFERROR(INDEX(_xlfn._xlws.FILTER(RawData[Error Details],RawData[Error Flag]&gt;0),ROWS(I$6:I76)),"")</f>
        <v/>
      </c>
      <c r="J76" s="6" t="str" cm="1">
        <f t="array" aca="1" ref="J76" ca="1">IFERROR(INDEX(_xlfn._xlws.FILTER(RawData[Recommended Action],RawData[Error Flag]&gt;0),ROWS(J$6:J76)),"")</f>
        <v/>
      </c>
      <c r="K76" t="str" cm="1">
        <f t="array" aca="1" ref="K76" ca="1">IFERROR(INDEX(_xlfn._xlws.FILTER(RawData[Severity],RawData[Error Flag]&gt;0),ROWS(K$6:K76)),"")</f>
        <v/>
      </c>
      <c r="L76" t="str" cm="1">
        <f t="array" aca="1" ref="L76" ca="1">IFERROR(INDEX(_xlfn._xlws.FILTER(RawData[Audit Status],RawData[Error Flag]&gt;0),ROWS(L$6:L76)),"")</f>
        <v/>
      </c>
    </row>
    <row r="77" spans="1:12" x14ac:dyDescent="0.25">
      <c r="A77" t="str" cm="1">
        <f t="array" aca="1" ref="A77" ca="1">IFERROR(INDEX(_xlfn._xlws.FILTER(RawData[Project Name],RawData[Error Flag]&gt;0),ROWS(A$6:A77)),"")</f>
        <v/>
      </c>
      <c r="B77" s="1" t="str" cm="1">
        <f t="array" aca="1" ref="B77" ca="1">IFERROR(INDEX(_xlfn._xlws.FILTER(RawData[Mobile],RawData[Error Flag]&gt;0),ROWS(B$6:B77)),"")</f>
        <v/>
      </c>
      <c r="C77" t="str" cm="1">
        <f t="array" aca="1" ref="C77" ca="1">IFERROR(INDEX(_xlfn._xlws.FILTER(RawData[Telecaller Name],RawData[Error Flag]&gt;0),ROWS(C$6:C77)),"")</f>
        <v/>
      </c>
      <c r="D77" s="2" t="str" cm="1">
        <f t="array" aca="1" ref="D77" ca="1">IFERROR(INDEX(_xlfn._xlws.FILTER(RawData[Lead Registration Date],RawData[Error Flag]&gt;0),ROWS(D$6:D77)),"")</f>
        <v/>
      </c>
      <c r="E77" t="str" cm="1">
        <f t="array" aca="1" ref="E77" ca="1">IFERROR(INDEX(_xlfn._xlws.FILTER(RawData[Lead Status],RawData[Error Flag]&gt;0),ROWS(E$6:E77)),"")</f>
        <v/>
      </c>
      <c r="F77" t="str" cm="1">
        <f t="array" aca="1" ref="F77" ca="1">IFERROR(INDEX(_xlfn._xlws.FILTER(RawData[Status],RawData[Error Flag]&gt;0),ROWS(F$6:F77)),"")</f>
        <v/>
      </c>
      <c r="G77" s="6" t="str" cm="1">
        <f t="array" aca="1" ref="G77" ca="1">IFERROR(INDEX(_xlfn._xlws.FILTER(RawData[Comments],RawData[Error Flag]&gt;0),ROWS(G$6:G77)),"")</f>
        <v/>
      </c>
      <c r="H77" s="6" t="str" cm="1">
        <f t="array" aca="1" ref="H77" ca="1">IFERROR(INDEX(_xlfn._xlws.FILTER(RawData[Error Type],RawData[Error Flag]&gt;0),ROWS(H$6:H77)),"")</f>
        <v/>
      </c>
      <c r="I77" s="6" t="str" cm="1">
        <f t="array" aca="1" ref="I77" ca="1">IFERROR(INDEX(_xlfn._xlws.FILTER(RawData[Error Details],RawData[Error Flag]&gt;0),ROWS(I$6:I77)),"")</f>
        <v/>
      </c>
      <c r="J77" s="6" t="str" cm="1">
        <f t="array" aca="1" ref="J77" ca="1">IFERROR(INDEX(_xlfn._xlws.FILTER(RawData[Recommended Action],RawData[Error Flag]&gt;0),ROWS(J$6:J77)),"")</f>
        <v/>
      </c>
      <c r="K77" t="str" cm="1">
        <f t="array" aca="1" ref="K77" ca="1">IFERROR(INDEX(_xlfn._xlws.FILTER(RawData[Severity],RawData[Error Flag]&gt;0),ROWS(K$6:K77)),"")</f>
        <v/>
      </c>
      <c r="L77" t="str" cm="1">
        <f t="array" aca="1" ref="L77" ca="1">IFERROR(INDEX(_xlfn._xlws.FILTER(RawData[Audit Status],RawData[Error Flag]&gt;0),ROWS(L$6:L77)),"")</f>
        <v/>
      </c>
    </row>
    <row r="78" spans="1:12" x14ac:dyDescent="0.25">
      <c r="A78" t="str" cm="1">
        <f t="array" aca="1" ref="A78" ca="1">IFERROR(INDEX(_xlfn._xlws.FILTER(RawData[Project Name],RawData[Error Flag]&gt;0),ROWS(A$6:A78)),"")</f>
        <v/>
      </c>
      <c r="B78" s="1" t="str" cm="1">
        <f t="array" aca="1" ref="B78" ca="1">IFERROR(INDEX(_xlfn._xlws.FILTER(RawData[Mobile],RawData[Error Flag]&gt;0),ROWS(B$6:B78)),"")</f>
        <v/>
      </c>
      <c r="C78" t="str" cm="1">
        <f t="array" aca="1" ref="C78" ca="1">IFERROR(INDEX(_xlfn._xlws.FILTER(RawData[Telecaller Name],RawData[Error Flag]&gt;0),ROWS(C$6:C78)),"")</f>
        <v/>
      </c>
      <c r="D78" s="2" t="str" cm="1">
        <f t="array" aca="1" ref="D78" ca="1">IFERROR(INDEX(_xlfn._xlws.FILTER(RawData[Lead Registration Date],RawData[Error Flag]&gt;0),ROWS(D$6:D78)),"")</f>
        <v/>
      </c>
      <c r="E78" t="str" cm="1">
        <f t="array" aca="1" ref="E78" ca="1">IFERROR(INDEX(_xlfn._xlws.FILTER(RawData[Lead Status],RawData[Error Flag]&gt;0),ROWS(E$6:E78)),"")</f>
        <v/>
      </c>
      <c r="F78" t="str" cm="1">
        <f t="array" aca="1" ref="F78" ca="1">IFERROR(INDEX(_xlfn._xlws.FILTER(RawData[Status],RawData[Error Flag]&gt;0),ROWS(F$6:F78)),"")</f>
        <v/>
      </c>
      <c r="G78" s="6" t="str" cm="1">
        <f t="array" aca="1" ref="G78" ca="1">IFERROR(INDEX(_xlfn._xlws.FILTER(RawData[Comments],RawData[Error Flag]&gt;0),ROWS(G$6:G78)),"")</f>
        <v/>
      </c>
      <c r="H78" s="6" t="str" cm="1">
        <f t="array" aca="1" ref="H78" ca="1">IFERROR(INDEX(_xlfn._xlws.FILTER(RawData[Error Type],RawData[Error Flag]&gt;0),ROWS(H$6:H78)),"")</f>
        <v/>
      </c>
      <c r="I78" s="6" t="str" cm="1">
        <f t="array" aca="1" ref="I78" ca="1">IFERROR(INDEX(_xlfn._xlws.FILTER(RawData[Error Details],RawData[Error Flag]&gt;0),ROWS(I$6:I78)),"")</f>
        <v/>
      </c>
      <c r="J78" s="6" t="str" cm="1">
        <f t="array" aca="1" ref="J78" ca="1">IFERROR(INDEX(_xlfn._xlws.FILTER(RawData[Recommended Action],RawData[Error Flag]&gt;0),ROWS(J$6:J78)),"")</f>
        <v/>
      </c>
      <c r="K78" t="str" cm="1">
        <f t="array" aca="1" ref="K78" ca="1">IFERROR(INDEX(_xlfn._xlws.FILTER(RawData[Severity],RawData[Error Flag]&gt;0),ROWS(K$6:K78)),"")</f>
        <v/>
      </c>
      <c r="L78" t="str" cm="1">
        <f t="array" aca="1" ref="L78" ca="1">IFERROR(INDEX(_xlfn._xlws.FILTER(RawData[Audit Status],RawData[Error Flag]&gt;0),ROWS(L$6:L78)),"")</f>
        <v/>
      </c>
    </row>
    <row r="79" spans="1:12" x14ac:dyDescent="0.25">
      <c r="A79" t="str" cm="1">
        <f t="array" aca="1" ref="A79" ca="1">IFERROR(INDEX(_xlfn._xlws.FILTER(RawData[Project Name],RawData[Error Flag]&gt;0),ROWS(A$6:A79)),"")</f>
        <v/>
      </c>
      <c r="B79" s="1" t="str" cm="1">
        <f t="array" aca="1" ref="B79" ca="1">IFERROR(INDEX(_xlfn._xlws.FILTER(RawData[Mobile],RawData[Error Flag]&gt;0),ROWS(B$6:B79)),"")</f>
        <v/>
      </c>
      <c r="C79" t="str" cm="1">
        <f t="array" aca="1" ref="C79" ca="1">IFERROR(INDEX(_xlfn._xlws.FILTER(RawData[Telecaller Name],RawData[Error Flag]&gt;0),ROWS(C$6:C79)),"")</f>
        <v/>
      </c>
      <c r="D79" s="2" t="str" cm="1">
        <f t="array" aca="1" ref="D79" ca="1">IFERROR(INDEX(_xlfn._xlws.FILTER(RawData[Lead Registration Date],RawData[Error Flag]&gt;0),ROWS(D$6:D79)),"")</f>
        <v/>
      </c>
      <c r="E79" t="str" cm="1">
        <f t="array" aca="1" ref="E79" ca="1">IFERROR(INDEX(_xlfn._xlws.FILTER(RawData[Lead Status],RawData[Error Flag]&gt;0),ROWS(E$6:E79)),"")</f>
        <v/>
      </c>
      <c r="F79" t="str" cm="1">
        <f t="array" aca="1" ref="F79" ca="1">IFERROR(INDEX(_xlfn._xlws.FILTER(RawData[Status],RawData[Error Flag]&gt;0),ROWS(F$6:F79)),"")</f>
        <v/>
      </c>
      <c r="G79" s="6" t="str" cm="1">
        <f t="array" aca="1" ref="G79" ca="1">IFERROR(INDEX(_xlfn._xlws.FILTER(RawData[Comments],RawData[Error Flag]&gt;0),ROWS(G$6:G79)),"")</f>
        <v/>
      </c>
      <c r="H79" s="6" t="str" cm="1">
        <f t="array" aca="1" ref="H79" ca="1">IFERROR(INDEX(_xlfn._xlws.FILTER(RawData[Error Type],RawData[Error Flag]&gt;0),ROWS(H$6:H79)),"")</f>
        <v/>
      </c>
      <c r="I79" s="6" t="str" cm="1">
        <f t="array" aca="1" ref="I79" ca="1">IFERROR(INDEX(_xlfn._xlws.FILTER(RawData[Error Details],RawData[Error Flag]&gt;0),ROWS(I$6:I79)),"")</f>
        <v/>
      </c>
      <c r="J79" s="6" t="str" cm="1">
        <f t="array" aca="1" ref="J79" ca="1">IFERROR(INDEX(_xlfn._xlws.FILTER(RawData[Recommended Action],RawData[Error Flag]&gt;0),ROWS(J$6:J79)),"")</f>
        <v/>
      </c>
      <c r="K79" t="str" cm="1">
        <f t="array" aca="1" ref="K79" ca="1">IFERROR(INDEX(_xlfn._xlws.FILTER(RawData[Severity],RawData[Error Flag]&gt;0),ROWS(K$6:K79)),"")</f>
        <v/>
      </c>
      <c r="L79" t="str" cm="1">
        <f t="array" aca="1" ref="L79" ca="1">IFERROR(INDEX(_xlfn._xlws.FILTER(RawData[Audit Status],RawData[Error Flag]&gt;0),ROWS(L$6:L79)),"")</f>
        <v/>
      </c>
    </row>
    <row r="80" spans="1:12" x14ac:dyDescent="0.25">
      <c r="A80" t="str" cm="1">
        <f t="array" aca="1" ref="A80" ca="1">IFERROR(INDEX(_xlfn._xlws.FILTER(RawData[Project Name],RawData[Error Flag]&gt;0),ROWS(A$6:A80)),"")</f>
        <v/>
      </c>
      <c r="B80" s="1" t="str" cm="1">
        <f t="array" aca="1" ref="B80" ca="1">IFERROR(INDEX(_xlfn._xlws.FILTER(RawData[Mobile],RawData[Error Flag]&gt;0),ROWS(B$6:B80)),"")</f>
        <v/>
      </c>
      <c r="C80" t="str" cm="1">
        <f t="array" aca="1" ref="C80" ca="1">IFERROR(INDEX(_xlfn._xlws.FILTER(RawData[Telecaller Name],RawData[Error Flag]&gt;0),ROWS(C$6:C80)),"")</f>
        <v/>
      </c>
      <c r="D80" s="2" t="str" cm="1">
        <f t="array" aca="1" ref="D80" ca="1">IFERROR(INDEX(_xlfn._xlws.FILTER(RawData[Lead Registration Date],RawData[Error Flag]&gt;0),ROWS(D$6:D80)),"")</f>
        <v/>
      </c>
      <c r="E80" t="str" cm="1">
        <f t="array" aca="1" ref="E80" ca="1">IFERROR(INDEX(_xlfn._xlws.FILTER(RawData[Lead Status],RawData[Error Flag]&gt;0),ROWS(E$6:E80)),"")</f>
        <v/>
      </c>
      <c r="F80" t="str" cm="1">
        <f t="array" aca="1" ref="F80" ca="1">IFERROR(INDEX(_xlfn._xlws.FILTER(RawData[Status],RawData[Error Flag]&gt;0),ROWS(F$6:F80)),"")</f>
        <v/>
      </c>
      <c r="G80" s="6" t="str" cm="1">
        <f t="array" aca="1" ref="G80" ca="1">IFERROR(INDEX(_xlfn._xlws.FILTER(RawData[Comments],RawData[Error Flag]&gt;0),ROWS(G$6:G80)),"")</f>
        <v/>
      </c>
      <c r="H80" s="6" t="str" cm="1">
        <f t="array" aca="1" ref="H80" ca="1">IFERROR(INDEX(_xlfn._xlws.FILTER(RawData[Error Type],RawData[Error Flag]&gt;0),ROWS(H$6:H80)),"")</f>
        <v/>
      </c>
      <c r="I80" s="6" t="str" cm="1">
        <f t="array" aca="1" ref="I80" ca="1">IFERROR(INDEX(_xlfn._xlws.FILTER(RawData[Error Details],RawData[Error Flag]&gt;0),ROWS(I$6:I80)),"")</f>
        <v/>
      </c>
      <c r="J80" s="6" t="str" cm="1">
        <f t="array" aca="1" ref="J80" ca="1">IFERROR(INDEX(_xlfn._xlws.FILTER(RawData[Recommended Action],RawData[Error Flag]&gt;0),ROWS(J$6:J80)),"")</f>
        <v/>
      </c>
      <c r="K80" t="str" cm="1">
        <f t="array" aca="1" ref="K80" ca="1">IFERROR(INDEX(_xlfn._xlws.FILTER(RawData[Severity],RawData[Error Flag]&gt;0),ROWS(K$6:K80)),"")</f>
        <v/>
      </c>
      <c r="L80" t="str" cm="1">
        <f t="array" aca="1" ref="L80" ca="1">IFERROR(INDEX(_xlfn._xlws.FILTER(RawData[Audit Status],RawData[Error Flag]&gt;0),ROWS(L$6:L80)),"")</f>
        <v/>
      </c>
    </row>
    <row r="81" spans="1:12" x14ac:dyDescent="0.25">
      <c r="A81" t="str" cm="1">
        <f t="array" aca="1" ref="A81" ca="1">IFERROR(INDEX(_xlfn._xlws.FILTER(RawData[Project Name],RawData[Error Flag]&gt;0),ROWS(A$6:A81)),"")</f>
        <v/>
      </c>
      <c r="B81" s="1" t="str" cm="1">
        <f t="array" aca="1" ref="B81" ca="1">IFERROR(INDEX(_xlfn._xlws.FILTER(RawData[Mobile],RawData[Error Flag]&gt;0),ROWS(B$6:B81)),"")</f>
        <v/>
      </c>
      <c r="C81" t="str" cm="1">
        <f t="array" aca="1" ref="C81" ca="1">IFERROR(INDEX(_xlfn._xlws.FILTER(RawData[Telecaller Name],RawData[Error Flag]&gt;0),ROWS(C$6:C81)),"")</f>
        <v/>
      </c>
      <c r="D81" s="2" t="str" cm="1">
        <f t="array" aca="1" ref="D81" ca="1">IFERROR(INDEX(_xlfn._xlws.FILTER(RawData[Lead Registration Date],RawData[Error Flag]&gt;0),ROWS(D$6:D81)),"")</f>
        <v/>
      </c>
      <c r="E81" t="str" cm="1">
        <f t="array" aca="1" ref="E81" ca="1">IFERROR(INDEX(_xlfn._xlws.FILTER(RawData[Lead Status],RawData[Error Flag]&gt;0),ROWS(E$6:E81)),"")</f>
        <v/>
      </c>
      <c r="F81" t="str" cm="1">
        <f t="array" aca="1" ref="F81" ca="1">IFERROR(INDEX(_xlfn._xlws.FILTER(RawData[Status],RawData[Error Flag]&gt;0),ROWS(F$6:F81)),"")</f>
        <v/>
      </c>
      <c r="G81" s="6" t="str" cm="1">
        <f t="array" aca="1" ref="G81" ca="1">IFERROR(INDEX(_xlfn._xlws.FILTER(RawData[Comments],RawData[Error Flag]&gt;0),ROWS(G$6:G81)),"")</f>
        <v/>
      </c>
      <c r="H81" s="6" t="str" cm="1">
        <f t="array" aca="1" ref="H81" ca="1">IFERROR(INDEX(_xlfn._xlws.FILTER(RawData[Error Type],RawData[Error Flag]&gt;0),ROWS(H$6:H81)),"")</f>
        <v/>
      </c>
      <c r="I81" s="6" t="str" cm="1">
        <f t="array" aca="1" ref="I81" ca="1">IFERROR(INDEX(_xlfn._xlws.FILTER(RawData[Error Details],RawData[Error Flag]&gt;0),ROWS(I$6:I81)),"")</f>
        <v/>
      </c>
      <c r="J81" s="6" t="str" cm="1">
        <f t="array" aca="1" ref="J81" ca="1">IFERROR(INDEX(_xlfn._xlws.FILTER(RawData[Recommended Action],RawData[Error Flag]&gt;0),ROWS(J$6:J81)),"")</f>
        <v/>
      </c>
      <c r="K81" t="str" cm="1">
        <f t="array" aca="1" ref="K81" ca="1">IFERROR(INDEX(_xlfn._xlws.FILTER(RawData[Severity],RawData[Error Flag]&gt;0),ROWS(K$6:K81)),"")</f>
        <v/>
      </c>
      <c r="L81" t="str" cm="1">
        <f t="array" aca="1" ref="L81" ca="1">IFERROR(INDEX(_xlfn._xlws.FILTER(RawData[Audit Status],RawData[Error Flag]&gt;0),ROWS(L$6:L81)),"")</f>
        <v/>
      </c>
    </row>
    <row r="82" spans="1:12" x14ac:dyDescent="0.25">
      <c r="A82" t="str" cm="1">
        <f t="array" aca="1" ref="A82" ca="1">IFERROR(INDEX(_xlfn._xlws.FILTER(RawData[Project Name],RawData[Error Flag]&gt;0),ROWS(A$6:A82)),"")</f>
        <v/>
      </c>
      <c r="B82" s="1" t="str" cm="1">
        <f t="array" aca="1" ref="B82" ca="1">IFERROR(INDEX(_xlfn._xlws.FILTER(RawData[Mobile],RawData[Error Flag]&gt;0),ROWS(B$6:B82)),"")</f>
        <v/>
      </c>
      <c r="C82" t="str" cm="1">
        <f t="array" aca="1" ref="C82" ca="1">IFERROR(INDEX(_xlfn._xlws.FILTER(RawData[Telecaller Name],RawData[Error Flag]&gt;0),ROWS(C$6:C82)),"")</f>
        <v/>
      </c>
      <c r="D82" s="2" t="str" cm="1">
        <f t="array" aca="1" ref="D82" ca="1">IFERROR(INDEX(_xlfn._xlws.FILTER(RawData[Lead Registration Date],RawData[Error Flag]&gt;0),ROWS(D$6:D82)),"")</f>
        <v/>
      </c>
      <c r="E82" t="str" cm="1">
        <f t="array" aca="1" ref="E82" ca="1">IFERROR(INDEX(_xlfn._xlws.FILTER(RawData[Lead Status],RawData[Error Flag]&gt;0),ROWS(E$6:E82)),"")</f>
        <v/>
      </c>
      <c r="F82" t="str" cm="1">
        <f t="array" aca="1" ref="F82" ca="1">IFERROR(INDEX(_xlfn._xlws.FILTER(RawData[Status],RawData[Error Flag]&gt;0),ROWS(F$6:F82)),"")</f>
        <v/>
      </c>
      <c r="G82" s="6" t="str" cm="1">
        <f t="array" aca="1" ref="G82" ca="1">IFERROR(INDEX(_xlfn._xlws.FILTER(RawData[Comments],RawData[Error Flag]&gt;0),ROWS(G$6:G82)),"")</f>
        <v/>
      </c>
      <c r="H82" s="6" t="str" cm="1">
        <f t="array" aca="1" ref="H82" ca="1">IFERROR(INDEX(_xlfn._xlws.FILTER(RawData[Error Type],RawData[Error Flag]&gt;0),ROWS(H$6:H82)),"")</f>
        <v/>
      </c>
      <c r="I82" s="6" t="str" cm="1">
        <f t="array" aca="1" ref="I82" ca="1">IFERROR(INDEX(_xlfn._xlws.FILTER(RawData[Error Details],RawData[Error Flag]&gt;0),ROWS(I$6:I82)),"")</f>
        <v/>
      </c>
      <c r="J82" s="6" t="str" cm="1">
        <f t="array" aca="1" ref="J82" ca="1">IFERROR(INDEX(_xlfn._xlws.FILTER(RawData[Recommended Action],RawData[Error Flag]&gt;0),ROWS(J$6:J82)),"")</f>
        <v/>
      </c>
      <c r="K82" t="str" cm="1">
        <f t="array" aca="1" ref="K82" ca="1">IFERROR(INDEX(_xlfn._xlws.FILTER(RawData[Severity],RawData[Error Flag]&gt;0),ROWS(K$6:K82)),"")</f>
        <v/>
      </c>
      <c r="L82" t="str" cm="1">
        <f t="array" aca="1" ref="L82" ca="1">IFERROR(INDEX(_xlfn._xlws.FILTER(RawData[Audit Status],RawData[Error Flag]&gt;0),ROWS(L$6:L82)),"")</f>
        <v/>
      </c>
    </row>
    <row r="83" spans="1:12" x14ac:dyDescent="0.25">
      <c r="A83" t="str" cm="1">
        <f t="array" aca="1" ref="A83" ca="1">IFERROR(INDEX(_xlfn._xlws.FILTER(RawData[Project Name],RawData[Error Flag]&gt;0),ROWS(A$6:A83)),"")</f>
        <v/>
      </c>
      <c r="B83" s="1" t="str" cm="1">
        <f t="array" aca="1" ref="B83" ca="1">IFERROR(INDEX(_xlfn._xlws.FILTER(RawData[Mobile],RawData[Error Flag]&gt;0),ROWS(B$6:B83)),"")</f>
        <v/>
      </c>
      <c r="C83" t="str" cm="1">
        <f t="array" aca="1" ref="C83" ca="1">IFERROR(INDEX(_xlfn._xlws.FILTER(RawData[Telecaller Name],RawData[Error Flag]&gt;0),ROWS(C$6:C83)),"")</f>
        <v/>
      </c>
      <c r="D83" s="2" t="str" cm="1">
        <f t="array" aca="1" ref="D83" ca="1">IFERROR(INDEX(_xlfn._xlws.FILTER(RawData[Lead Registration Date],RawData[Error Flag]&gt;0),ROWS(D$6:D83)),"")</f>
        <v/>
      </c>
      <c r="E83" t="str" cm="1">
        <f t="array" aca="1" ref="E83" ca="1">IFERROR(INDEX(_xlfn._xlws.FILTER(RawData[Lead Status],RawData[Error Flag]&gt;0),ROWS(E$6:E83)),"")</f>
        <v/>
      </c>
      <c r="F83" t="str" cm="1">
        <f t="array" aca="1" ref="F83" ca="1">IFERROR(INDEX(_xlfn._xlws.FILTER(RawData[Status],RawData[Error Flag]&gt;0),ROWS(F$6:F83)),"")</f>
        <v/>
      </c>
      <c r="G83" s="6" t="str" cm="1">
        <f t="array" aca="1" ref="G83" ca="1">IFERROR(INDEX(_xlfn._xlws.FILTER(RawData[Comments],RawData[Error Flag]&gt;0),ROWS(G$6:G83)),"")</f>
        <v/>
      </c>
      <c r="H83" s="6" t="str" cm="1">
        <f t="array" aca="1" ref="H83" ca="1">IFERROR(INDEX(_xlfn._xlws.FILTER(RawData[Error Type],RawData[Error Flag]&gt;0),ROWS(H$6:H83)),"")</f>
        <v/>
      </c>
      <c r="I83" s="6" t="str" cm="1">
        <f t="array" aca="1" ref="I83" ca="1">IFERROR(INDEX(_xlfn._xlws.FILTER(RawData[Error Details],RawData[Error Flag]&gt;0),ROWS(I$6:I83)),"")</f>
        <v/>
      </c>
      <c r="J83" s="6" t="str" cm="1">
        <f t="array" aca="1" ref="J83" ca="1">IFERROR(INDEX(_xlfn._xlws.FILTER(RawData[Recommended Action],RawData[Error Flag]&gt;0),ROWS(J$6:J83)),"")</f>
        <v/>
      </c>
      <c r="K83" t="str" cm="1">
        <f t="array" aca="1" ref="K83" ca="1">IFERROR(INDEX(_xlfn._xlws.FILTER(RawData[Severity],RawData[Error Flag]&gt;0),ROWS(K$6:K83)),"")</f>
        <v/>
      </c>
      <c r="L83" t="str" cm="1">
        <f t="array" aca="1" ref="L83" ca="1">IFERROR(INDEX(_xlfn._xlws.FILTER(RawData[Audit Status],RawData[Error Flag]&gt;0),ROWS(L$6:L83)),"")</f>
        <v/>
      </c>
    </row>
    <row r="84" spans="1:12" x14ac:dyDescent="0.25">
      <c r="A84" t="str" cm="1">
        <f t="array" aca="1" ref="A84" ca="1">IFERROR(INDEX(_xlfn._xlws.FILTER(RawData[Project Name],RawData[Error Flag]&gt;0),ROWS(A$6:A84)),"")</f>
        <v/>
      </c>
      <c r="B84" s="1" t="str" cm="1">
        <f t="array" aca="1" ref="B84" ca="1">IFERROR(INDEX(_xlfn._xlws.FILTER(RawData[Mobile],RawData[Error Flag]&gt;0),ROWS(B$6:B84)),"")</f>
        <v/>
      </c>
      <c r="C84" t="str" cm="1">
        <f t="array" aca="1" ref="C84" ca="1">IFERROR(INDEX(_xlfn._xlws.FILTER(RawData[Telecaller Name],RawData[Error Flag]&gt;0),ROWS(C$6:C84)),"")</f>
        <v/>
      </c>
      <c r="D84" s="2" t="str" cm="1">
        <f t="array" aca="1" ref="D84" ca="1">IFERROR(INDEX(_xlfn._xlws.FILTER(RawData[Lead Registration Date],RawData[Error Flag]&gt;0),ROWS(D$6:D84)),"")</f>
        <v/>
      </c>
      <c r="E84" t="str" cm="1">
        <f t="array" aca="1" ref="E84" ca="1">IFERROR(INDEX(_xlfn._xlws.FILTER(RawData[Lead Status],RawData[Error Flag]&gt;0),ROWS(E$6:E84)),"")</f>
        <v/>
      </c>
      <c r="F84" t="str" cm="1">
        <f t="array" aca="1" ref="F84" ca="1">IFERROR(INDEX(_xlfn._xlws.FILTER(RawData[Status],RawData[Error Flag]&gt;0),ROWS(F$6:F84)),"")</f>
        <v/>
      </c>
      <c r="G84" s="6" t="str" cm="1">
        <f t="array" aca="1" ref="G84" ca="1">IFERROR(INDEX(_xlfn._xlws.FILTER(RawData[Comments],RawData[Error Flag]&gt;0),ROWS(G$6:G84)),"")</f>
        <v/>
      </c>
      <c r="H84" s="6" t="str" cm="1">
        <f t="array" aca="1" ref="H84" ca="1">IFERROR(INDEX(_xlfn._xlws.FILTER(RawData[Error Type],RawData[Error Flag]&gt;0),ROWS(H$6:H84)),"")</f>
        <v/>
      </c>
      <c r="I84" s="6" t="str" cm="1">
        <f t="array" aca="1" ref="I84" ca="1">IFERROR(INDEX(_xlfn._xlws.FILTER(RawData[Error Details],RawData[Error Flag]&gt;0),ROWS(I$6:I84)),"")</f>
        <v/>
      </c>
      <c r="J84" s="6" t="str" cm="1">
        <f t="array" aca="1" ref="J84" ca="1">IFERROR(INDEX(_xlfn._xlws.FILTER(RawData[Recommended Action],RawData[Error Flag]&gt;0),ROWS(J$6:J84)),"")</f>
        <v/>
      </c>
      <c r="K84" t="str" cm="1">
        <f t="array" aca="1" ref="K84" ca="1">IFERROR(INDEX(_xlfn._xlws.FILTER(RawData[Severity],RawData[Error Flag]&gt;0),ROWS(K$6:K84)),"")</f>
        <v/>
      </c>
      <c r="L84" t="str" cm="1">
        <f t="array" aca="1" ref="L84" ca="1">IFERROR(INDEX(_xlfn._xlws.FILTER(RawData[Audit Status],RawData[Error Flag]&gt;0),ROWS(L$6:L84)),"")</f>
        <v/>
      </c>
    </row>
    <row r="85" spans="1:12" x14ac:dyDescent="0.25">
      <c r="A85" t="str" cm="1">
        <f t="array" aca="1" ref="A85" ca="1">IFERROR(INDEX(_xlfn._xlws.FILTER(RawData[Project Name],RawData[Error Flag]&gt;0),ROWS(A$6:A85)),"")</f>
        <v/>
      </c>
      <c r="B85" s="1" t="str" cm="1">
        <f t="array" aca="1" ref="B85" ca="1">IFERROR(INDEX(_xlfn._xlws.FILTER(RawData[Mobile],RawData[Error Flag]&gt;0),ROWS(B$6:B85)),"")</f>
        <v/>
      </c>
      <c r="C85" t="str" cm="1">
        <f t="array" aca="1" ref="C85" ca="1">IFERROR(INDEX(_xlfn._xlws.FILTER(RawData[Telecaller Name],RawData[Error Flag]&gt;0),ROWS(C$6:C85)),"")</f>
        <v/>
      </c>
      <c r="D85" s="2" t="str" cm="1">
        <f t="array" aca="1" ref="D85" ca="1">IFERROR(INDEX(_xlfn._xlws.FILTER(RawData[Lead Registration Date],RawData[Error Flag]&gt;0),ROWS(D$6:D85)),"")</f>
        <v/>
      </c>
      <c r="E85" t="str" cm="1">
        <f t="array" aca="1" ref="E85" ca="1">IFERROR(INDEX(_xlfn._xlws.FILTER(RawData[Lead Status],RawData[Error Flag]&gt;0),ROWS(E$6:E85)),"")</f>
        <v/>
      </c>
      <c r="F85" t="str" cm="1">
        <f t="array" aca="1" ref="F85" ca="1">IFERROR(INDEX(_xlfn._xlws.FILTER(RawData[Status],RawData[Error Flag]&gt;0),ROWS(F$6:F85)),"")</f>
        <v/>
      </c>
      <c r="G85" s="6" t="str" cm="1">
        <f t="array" aca="1" ref="G85" ca="1">IFERROR(INDEX(_xlfn._xlws.FILTER(RawData[Comments],RawData[Error Flag]&gt;0),ROWS(G$6:G85)),"")</f>
        <v/>
      </c>
      <c r="H85" s="6" t="str" cm="1">
        <f t="array" aca="1" ref="H85" ca="1">IFERROR(INDEX(_xlfn._xlws.FILTER(RawData[Error Type],RawData[Error Flag]&gt;0),ROWS(H$6:H85)),"")</f>
        <v/>
      </c>
      <c r="I85" s="6" t="str" cm="1">
        <f t="array" aca="1" ref="I85" ca="1">IFERROR(INDEX(_xlfn._xlws.FILTER(RawData[Error Details],RawData[Error Flag]&gt;0),ROWS(I$6:I85)),"")</f>
        <v/>
      </c>
      <c r="J85" s="6" t="str" cm="1">
        <f t="array" aca="1" ref="J85" ca="1">IFERROR(INDEX(_xlfn._xlws.FILTER(RawData[Recommended Action],RawData[Error Flag]&gt;0),ROWS(J$6:J85)),"")</f>
        <v/>
      </c>
      <c r="K85" t="str" cm="1">
        <f t="array" aca="1" ref="K85" ca="1">IFERROR(INDEX(_xlfn._xlws.FILTER(RawData[Severity],RawData[Error Flag]&gt;0),ROWS(K$6:K85)),"")</f>
        <v/>
      </c>
      <c r="L85" t="str" cm="1">
        <f t="array" aca="1" ref="L85" ca="1">IFERROR(INDEX(_xlfn._xlws.FILTER(RawData[Audit Status],RawData[Error Flag]&gt;0),ROWS(L$6:L85)),"")</f>
        <v/>
      </c>
    </row>
    <row r="86" spans="1:12" x14ac:dyDescent="0.25">
      <c r="A86" t="str" cm="1">
        <f t="array" aca="1" ref="A86" ca="1">IFERROR(INDEX(_xlfn._xlws.FILTER(RawData[Project Name],RawData[Error Flag]&gt;0),ROWS(A$6:A86)),"")</f>
        <v/>
      </c>
      <c r="B86" s="1" t="str" cm="1">
        <f t="array" aca="1" ref="B86" ca="1">IFERROR(INDEX(_xlfn._xlws.FILTER(RawData[Mobile],RawData[Error Flag]&gt;0),ROWS(B$6:B86)),"")</f>
        <v/>
      </c>
      <c r="C86" t="str" cm="1">
        <f t="array" aca="1" ref="C86" ca="1">IFERROR(INDEX(_xlfn._xlws.FILTER(RawData[Telecaller Name],RawData[Error Flag]&gt;0),ROWS(C$6:C86)),"")</f>
        <v/>
      </c>
      <c r="D86" s="2" t="str" cm="1">
        <f t="array" aca="1" ref="D86" ca="1">IFERROR(INDEX(_xlfn._xlws.FILTER(RawData[Lead Registration Date],RawData[Error Flag]&gt;0),ROWS(D$6:D86)),"")</f>
        <v/>
      </c>
      <c r="E86" t="str" cm="1">
        <f t="array" aca="1" ref="E86" ca="1">IFERROR(INDEX(_xlfn._xlws.FILTER(RawData[Lead Status],RawData[Error Flag]&gt;0),ROWS(E$6:E86)),"")</f>
        <v/>
      </c>
      <c r="F86" t="str" cm="1">
        <f t="array" aca="1" ref="F86" ca="1">IFERROR(INDEX(_xlfn._xlws.FILTER(RawData[Status],RawData[Error Flag]&gt;0),ROWS(F$6:F86)),"")</f>
        <v/>
      </c>
      <c r="G86" s="6" t="str" cm="1">
        <f t="array" aca="1" ref="G86" ca="1">IFERROR(INDEX(_xlfn._xlws.FILTER(RawData[Comments],RawData[Error Flag]&gt;0),ROWS(G$6:G86)),"")</f>
        <v/>
      </c>
      <c r="H86" s="6" t="str" cm="1">
        <f t="array" aca="1" ref="H86" ca="1">IFERROR(INDEX(_xlfn._xlws.FILTER(RawData[Error Type],RawData[Error Flag]&gt;0),ROWS(H$6:H86)),"")</f>
        <v/>
      </c>
      <c r="I86" s="6" t="str" cm="1">
        <f t="array" aca="1" ref="I86" ca="1">IFERROR(INDEX(_xlfn._xlws.FILTER(RawData[Error Details],RawData[Error Flag]&gt;0),ROWS(I$6:I86)),"")</f>
        <v/>
      </c>
      <c r="J86" s="6" t="str" cm="1">
        <f t="array" aca="1" ref="J86" ca="1">IFERROR(INDEX(_xlfn._xlws.FILTER(RawData[Recommended Action],RawData[Error Flag]&gt;0),ROWS(J$6:J86)),"")</f>
        <v/>
      </c>
      <c r="K86" t="str" cm="1">
        <f t="array" aca="1" ref="K86" ca="1">IFERROR(INDEX(_xlfn._xlws.FILTER(RawData[Severity],RawData[Error Flag]&gt;0),ROWS(K$6:K86)),"")</f>
        <v/>
      </c>
      <c r="L86" t="str" cm="1">
        <f t="array" aca="1" ref="L86" ca="1">IFERROR(INDEX(_xlfn._xlws.FILTER(RawData[Audit Status],RawData[Error Flag]&gt;0),ROWS(L$6:L86)),"")</f>
        <v/>
      </c>
    </row>
    <row r="87" spans="1:12" x14ac:dyDescent="0.25">
      <c r="A87" t="str" cm="1">
        <f t="array" aca="1" ref="A87" ca="1">IFERROR(INDEX(_xlfn._xlws.FILTER(RawData[Project Name],RawData[Error Flag]&gt;0),ROWS(A$6:A87)),"")</f>
        <v/>
      </c>
      <c r="B87" s="1" t="str" cm="1">
        <f t="array" aca="1" ref="B87" ca="1">IFERROR(INDEX(_xlfn._xlws.FILTER(RawData[Mobile],RawData[Error Flag]&gt;0),ROWS(B$6:B87)),"")</f>
        <v/>
      </c>
      <c r="C87" t="str" cm="1">
        <f t="array" aca="1" ref="C87" ca="1">IFERROR(INDEX(_xlfn._xlws.FILTER(RawData[Telecaller Name],RawData[Error Flag]&gt;0),ROWS(C$6:C87)),"")</f>
        <v/>
      </c>
      <c r="D87" s="2" t="str" cm="1">
        <f t="array" aca="1" ref="D87" ca="1">IFERROR(INDEX(_xlfn._xlws.FILTER(RawData[Lead Registration Date],RawData[Error Flag]&gt;0),ROWS(D$6:D87)),"")</f>
        <v/>
      </c>
      <c r="E87" t="str" cm="1">
        <f t="array" aca="1" ref="E87" ca="1">IFERROR(INDEX(_xlfn._xlws.FILTER(RawData[Lead Status],RawData[Error Flag]&gt;0),ROWS(E$6:E87)),"")</f>
        <v/>
      </c>
      <c r="F87" t="str" cm="1">
        <f t="array" aca="1" ref="F87" ca="1">IFERROR(INDEX(_xlfn._xlws.FILTER(RawData[Status],RawData[Error Flag]&gt;0),ROWS(F$6:F87)),"")</f>
        <v/>
      </c>
      <c r="G87" s="6" t="str" cm="1">
        <f t="array" aca="1" ref="G87" ca="1">IFERROR(INDEX(_xlfn._xlws.FILTER(RawData[Comments],RawData[Error Flag]&gt;0),ROWS(G$6:G87)),"")</f>
        <v/>
      </c>
      <c r="H87" s="6" t="str" cm="1">
        <f t="array" aca="1" ref="H87" ca="1">IFERROR(INDEX(_xlfn._xlws.FILTER(RawData[Error Type],RawData[Error Flag]&gt;0),ROWS(H$6:H87)),"")</f>
        <v/>
      </c>
      <c r="I87" s="6" t="str" cm="1">
        <f t="array" aca="1" ref="I87" ca="1">IFERROR(INDEX(_xlfn._xlws.FILTER(RawData[Error Details],RawData[Error Flag]&gt;0),ROWS(I$6:I87)),"")</f>
        <v/>
      </c>
      <c r="J87" s="6" t="str" cm="1">
        <f t="array" aca="1" ref="J87" ca="1">IFERROR(INDEX(_xlfn._xlws.FILTER(RawData[Recommended Action],RawData[Error Flag]&gt;0),ROWS(J$6:J87)),"")</f>
        <v/>
      </c>
      <c r="K87" t="str" cm="1">
        <f t="array" aca="1" ref="K87" ca="1">IFERROR(INDEX(_xlfn._xlws.FILTER(RawData[Severity],RawData[Error Flag]&gt;0),ROWS(K$6:K87)),"")</f>
        <v/>
      </c>
      <c r="L87" t="str" cm="1">
        <f t="array" aca="1" ref="L87" ca="1">IFERROR(INDEX(_xlfn._xlws.FILTER(RawData[Audit Status],RawData[Error Flag]&gt;0),ROWS(L$6:L87)),"")</f>
        <v/>
      </c>
    </row>
    <row r="88" spans="1:12" x14ac:dyDescent="0.25">
      <c r="A88" t="str" cm="1">
        <f t="array" aca="1" ref="A88" ca="1">IFERROR(INDEX(_xlfn._xlws.FILTER(RawData[Project Name],RawData[Error Flag]&gt;0),ROWS(A$6:A88)),"")</f>
        <v/>
      </c>
      <c r="B88" s="1" t="str" cm="1">
        <f t="array" aca="1" ref="B88" ca="1">IFERROR(INDEX(_xlfn._xlws.FILTER(RawData[Mobile],RawData[Error Flag]&gt;0),ROWS(B$6:B88)),"")</f>
        <v/>
      </c>
      <c r="C88" t="str" cm="1">
        <f t="array" aca="1" ref="C88" ca="1">IFERROR(INDEX(_xlfn._xlws.FILTER(RawData[Telecaller Name],RawData[Error Flag]&gt;0),ROWS(C$6:C88)),"")</f>
        <v/>
      </c>
      <c r="D88" s="2" t="str" cm="1">
        <f t="array" aca="1" ref="D88" ca="1">IFERROR(INDEX(_xlfn._xlws.FILTER(RawData[Lead Registration Date],RawData[Error Flag]&gt;0),ROWS(D$6:D88)),"")</f>
        <v/>
      </c>
      <c r="E88" t="str" cm="1">
        <f t="array" aca="1" ref="E88" ca="1">IFERROR(INDEX(_xlfn._xlws.FILTER(RawData[Lead Status],RawData[Error Flag]&gt;0),ROWS(E$6:E88)),"")</f>
        <v/>
      </c>
      <c r="F88" t="str" cm="1">
        <f t="array" aca="1" ref="F88" ca="1">IFERROR(INDEX(_xlfn._xlws.FILTER(RawData[Status],RawData[Error Flag]&gt;0),ROWS(F$6:F88)),"")</f>
        <v/>
      </c>
      <c r="G88" s="6" t="str" cm="1">
        <f t="array" aca="1" ref="G88" ca="1">IFERROR(INDEX(_xlfn._xlws.FILTER(RawData[Comments],RawData[Error Flag]&gt;0),ROWS(G$6:G88)),"")</f>
        <v/>
      </c>
      <c r="H88" s="6" t="str" cm="1">
        <f t="array" aca="1" ref="H88" ca="1">IFERROR(INDEX(_xlfn._xlws.FILTER(RawData[Error Type],RawData[Error Flag]&gt;0),ROWS(H$6:H88)),"")</f>
        <v/>
      </c>
      <c r="I88" s="6" t="str" cm="1">
        <f t="array" aca="1" ref="I88" ca="1">IFERROR(INDEX(_xlfn._xlws.FILTER(RawData[Error Details],RawData[Error Flag]&gt;0),ROWS(I$6:I88)),"")</f>
        <v/>
      </c>
      <c r="J88" s="6" t="str" cm="1">
        <f t="array" aca="1" ref="J88" ca="1">IFERROR(INDEX(_xlfn._xlws.FILTER(RawData[Recommended Action],RawData[Error Flag]&gt;0),ROWS(J$6:J88)),"")</f>
        <v/>
      </c>
      <c r="K88" t="str" cm="1">
        <f t="array" aca="1" ref="K88" ca="1">IFERROR(INDEX(_xlfn._xlws.FILTER(RawData[Severity],RawData[Error Flag]&gt;0),ROWS(K$6:K88)),"")</f>
        <v/>
      </c>
      <c r="L88" t="str" cm="1">
        <f t="array" aca="1" ref="L88" ca="1">IFERROR(INDEX(_xlfn._xlws.FILTER(RawData[Audit Status],RawData[Error Flag]&gt;0),ROWS(L$6:L88)),"")</f>
        <v/>
      </c>
    </row>
    <row r="89" spans="1:12" x14ac:dyDescent="0.25">
      <c r="A89" t="str" cm="1">
        <f t="array" aca="1" ref="A89" ca="1">IFERROR(INDEX(_xlfn._xlws.FILTER(RawData[Project Name],RawData[Error Flag]&gt;0),ROWS(A$6:A89)),"")</f>
        <v/>
      </c>
      <c r="B89" s="1" t="str" cm="1">
        <f t="array" aca="1" ref="B89" ca="1">IFERROR(INDEX(_xlfn._xlws.FILTER(RawData[Mobile],RawData[Error Flag]&gt;0),ROWS(B$6:B89)),"")</f>
        <v/>
      </c>
      <c r="C89" t="str" cm="1">
        <f t="array" aca="1" ref="C89" ca="1">IFERROR(INDEX(_xlfn._xlws.FILTER(RawData[Telecaller Name],RawData[Error Flag]&gt;0),ROWS(C$6:C89)),"")</f>
        <v/>
      </c>
      <c r="D89" s="2" t="str" cm="1">
        <f t="array" aca="1" ref="D89" ca="1">IFERROR(INDEX(_xlfn._xlws.FILTER(RawData[Lead Registration Date],RawData[Error Flag]&gt;0),ROWS(D$6:D89)),"")</f>
        <v/>
      </c>
      <c r="E89" t="str" cm="1">
        <f t="array" aca="1" ref="E89" ca="1">IFERROR(INDEX(_xlfn._xlws.FILTER(RawData[Lead Status],RawData[Error Flag]&gt;0),ROWS(E$6:E89)),"")</f>
        <v/>
      </c>
      <c r="F89" t="str" cm="1">
        <f t="array" aca="1" ref="F89" ca="1">IFERROR(INDEX(_xlfn._xlws.FILTER(RawData[Status],RawData[Error Flag]&gt;0),ROWS(F$6:F89)),"")</f>
        <v/>
      </c>
      <c r="G89" s="6" t="str" cm="1">
        <f t="array" aca="1" ref="G89" ca="1">IFERROR(INDEX(_xlfn._xlws.FILTER(RawData[Comments],RawData[Error Flag]&gt;0),ROWS(G$6:G89)),"")</f>
        <v/>
      </c>
      <c r="H89" s="6" t="str" cm="1">
        <f t="array" aca="1" ref="H89" ca="1">IFERROR(INDEX(_xlfn._xlws.FILTER(RawData[Error Type],RawData[Error Flag]&gt;0),ROWS(H$6:H89)),"")</f>
        <v/>
      </c>
      <c r="I89" s="6" t="str" cm="1">
        <f t="array" aca="1" ref="I89" ca="1">IFERROR(INDEX(_xlfn._xlws.FILTER(RawData[Error Details],RawData[Error Flag]&gt;0),ROWS(I$6:I89)),"")</f>
        <v/>
      </c>
      <c r="J89" s="6" t="str" cm="1">
        <f t="array" aca="1" ref="J89" ca="1">IFERROR(INDEX(_xlfn._xlws.FILTER(RawData[Recommended Action],RawData[Error Flag]&gt;0),ROWS(J$6:J89)),"")</f>
        <v/>
      </c>
      <c r="K89" t="str" cm="1">
        <f t="array" aca="1" ref="K89" ca="1">IFERROR(INDEX(_xlfn._xlws.FILTER(RawData[Severity],RawData[Error Flag]&gt;0),ROWS(K$6:K89)),"")</f>
        <v/>
      </c>
      <c r="L89" t="str" cm="1">
        <f t="array" aca="1" ref="L89" ca="1">IFERROR(INDEX(_xlfn._xlws.FILTER(RawData[Audit Status],RawData[Error Flag]&gt;0),ROWS(L$6:L89)),"")</f>
        <v/>
      </c>
    </row>
    <row r="90" spans="1:12" x14ac:dyDescent="0.25">
      <c r="A90" t="str" cm="1">
        <f t="array" aca="1" ref="A90" ca="1">IFERROR(INDEX(_xlfn._xlws.FILTER(RawData[Project Name],RawData[Error Flag]&gt;0),ROWS(A$6:A90)),"")</f>
        <v/>
      </c>
      <c r="B90" s="1" t="str" cm="1">
        <f t="array" aca="1" ref="B90" ca="1">IFERROR(INDEX(_xlfn._xlws.FILTER(RawData[Mobile],RawData[Error Flag]&gt;0),ROWS(B$6:B90)),"")</f>
        <v/>
      </c>
      <c r="C90" t="str" cm="1">
        <f t="array" aca="1" ref="C90" ca="1">IFERROR(INDEX(_xlfn._xlws.FILTER(RawData[Telecaller Name],RawData[Error Flag]&gt;0),ROWS(C$6:C90)),"")</f>
        <v/>
      </c>
      <c r="D90" s="2" t="str" cm="1">
        <f t="array" aca="1" ref="D90" ca="1">IFERROR(INDEX(_xlfn._xlws.FILTER(RawData[Lead Registration Date],RawData[Error Flag]&gt;0),ROWS(D$6:D90)),"")</f>
        <v/>
      </c>
      <c r="E90" t="str" cm="1">
        <f t="array" aca="1" ref="E90" ca="1">IFERROR(INDEX(_xlfn._xlws.FILTER(RawData[Lead Status],RawData[Error Flag]&gt;0),ROWS(E$6:E90)),"")</f>
        <v/>
      </c>
      <c r="F90" t="str" cm="1">
        <f t="array" aca="1" ref="F90" ca="1">IFERROR(INDEX(_xlfn._xlws.FILTER(RawData[Status],RawData[Error Flag]&gt;0),ROWS(F$6:F90)),"")</f>
        <v/>
      </c>
      <c r="G90" s="6" t="str" cm="1">
        <f t="array" aca="1" ref="G90" ca="1">IFERROR(INDEX(_xlfn._xlws.FILTER(RawData[Comments],RawData[Error Flag]&gt;0),ROWS(G$6:G90)),"")</f>
        <v/>
      </c>
      <c r="H90" s="6" t="str" cm="1">
        <f t="array" aca="1" ref="H90" ca="1">IFERROR(INDEX(_xlfn._xlws.FILTER(RawData[Error Type],RawData[Error Flag]&gt;0),ROWS(H$6:H90)),"")</f>
        <v/>
      </c>
      <c r="I90" s="6" t="str" cm="1">
        <f t="array" aca="1" ref="I90" ca="1">IFERROR(INDEX(_xlfn._xlws.FILTER(RawData[Error Details],RawData[Error Flag]&gt;0),ROWS(I$6:I90)),"")</f>
        <v/>
      </c>
      <c r="J90" s="6" t="str" cm="1">
        <f t="array" aca="1" ref="J90" ca="1">IFERROR(INDEX(_xlfn._xlws.FILTER(RawData[Recommended Action],RawData[Error Flag]&gt;0),ROWS(J$6:J90)),"")</f>
        <v/>
      </c>
      <c r="K90" t="str" cm="1">
        <f t="array" aca="1" ref="K90" ca="1">IFERROR(INDEX(_xlfn._xlws.FILTER(RawData[Severity],RawData[Error Flag]&gt;0),ROWS(K$6:K90)),"")</f>
        <v/>
      </c>
      <c r="L90" t="str" cm="1">
        <f t="array" aca="1" ref="L90" ca="1">IFERROR(INDEX(_xlfn._xlws.FILTER(RawData[Audit Status],RawData[Error Flag]&gt;0),ROWS(L$6:L90)),"")</f>
        <v/>
      </c>
    </row>
    <row r="91" spans="1:12" x14ac:dyDescent="0.25">
      <c r="A91" t="str" cm="1">
        <f t="array" aca="1" ref="A91" ca="1">IFERROR(INDEX(_xlfn._xlws.FILTER(RawData[Project Name],RawData[Error Flag]&gt;0),ROWS(A$6:A91)),"")</f>
        <v/>
      </c>
      <c r="B91" s="1" t="str" cm="1">
        <f t="array" aca="1" ref="B91" ca="1">IFERROR(INDEX(_xlfn._xlws.FILTER(RawData[Mobile],RawData[Error Flag]&gt;0),ROWS(B$6:B91)),"")</f>
        <v/>
      </c>
      <c r="C91" t="str" cm="1">
        <f t="array" aca="1" ref="C91" ca="1">IFERROR(INDEX(_xlfn._xlws.FILTER(RawData[Telecaller Name],RawData[Error Flag]&gt;0),ROWS(C$6:C91)),"")</f>
        <v/>
      </c>
      <c r="D91" s="2" t="str" cm="1">
        <f t="array" aca="1" ref="D91" ca="1">IFERROR(INDEX(_xlfn._xlws.FILTER(RawData[Lead Registration Date],RawData[Error Flag]&gt;0),ROWS(D$6:D91)),"")</f>
        <v/>
      </c>
      <c r="E91" t="str" cm="1">
        <f t="array" aca="1" ref="E91" ca="1">IFERROR(INDEX(_xlfn._xlws.FILTER(RawData[Lead Status],RawData[Error Flag]&gt;0),ROWS(E$6:E91)),"")</f>
        <v/>
      </c>
      <c r="F91" t="str" cm="1">
        <f t="array" aca="1" ref="F91" ca="1">IFERROR(INDEX(_xlfn._xlws.FILTER(RawData[Status],RawData[Error Flag]&gt;0),ROWS(F$6:F91)),"")</f>
        <v/>
      </c>
      <c r="G91" s="6" t="str" cm="1">
        <f t="array" aca="1" ref="G91" ca="1">IFERROR(INDEX(_xlfn._xlws.FILTER(RawData[Comments],RawData[Error Flag]&gt;0),ROWS(G$6:G91)),"")</f>
        <v/>
      </c>
      <c r="H91" s="6" t="str" cm="1">
        <f t="array" aca="1" ref="H91" ca="1">IFERROR(INDEX(_xlfn._xlws.FILTER(RawData[Error Type],RawData[Error Flag]&gt;0),ROWS(H$6:H91)),"")</f>
        <v/>
      </c>
      <c r="I91" s="6" t="str" cm="1">
        <f t="array" aca="1" ref="I91" ca="1">IFERROR(INDEX(_xlfn._xlws.FILTER(RawData[Error Details],RawData[Error Flag]&gt;0),ROWS(I$6:I91)),"")</f>
        <v/>
      </c>
      <c r="J91" s="6" t="str" cm="1">
        <f t="array" aca="1" ref="J91" ca="1">IFERROR(INDEX(_xlfn._xlws.FILTER(RawData[Recommended Action],RawData[Error Flag]&gt;0),ROWS(J$6:J91)),"")</f>
        <v/>
      </c>
      <c r="K91" t="str" cm="1">
        <f t="array" aca="1" ref="K91" ca="1">IFERROR(INDEX(_xlfn._xlws.FILTER(RawData[Severity],RawData[Error Flag]&gt;0),ROWS(K$6:K91)),"")</f>
        <v/>
      </c>
      <c r="L91" t="str" cm="1">
        <f t="array" aca="1" ref="L91" ca="1">IFERROR(INDEX(_xlfn._xlws.FILTER(RawData[Audit Status],RawData[Error Flag]&gt;0),ROWS(L$6:L91)),"")</f>
        <v/>
      </c>
    </row>
    <row r="92" spans="1:12" x14ac:dyDescent="0.25">
      <c r="A92" t="str" cm="1">
        <f t="array" aca="1" ref="A92" ca="1">IFERROR(INDEX(_xlfn._xlws.FILTER(RawData[Project Name],RawData[Error Flag]&gt;0),ROWS(A$6:A92)),"")</f>
        <v/>
      </c>
      <c r="B92" s="1" t="str" cm="1">
        <f t="array" aca="1" ref="B92" ca="1">IFERROR(INDEX(_xlfn._xlws.FILTER(RawData[Mobile],RawData[Error Flag]&gt;0),ROWS(B$6:B92)),"")</f>
        <v/>
      </c>
      <c r="C92" t="str" cm="1">
        <f t="array" aca="1" ref="C92" ca="1">IFERROR(INDEX(_xlfn._xlws.FILTER(RawData[Telecaller Name],RawData[Error Flag]&gt;0),ROWS(C$6:C92)),"")</f>
        <v/>
      </c>
      <c r="D92" s="2" t="str" cm="1">
        <f t="array" aca="1" ref="D92" ca="1">IFERROR(INDEX(_xlfn._xlws.FILTER(RawData[Lead Registration Date],RawData[Error Flag]&gt;0),ROWS(D$6:D92)),"")</f>
        <v/>
      </c>
      <c r="E92" t="str" cm="1">
        <f t="array" aca="1" ref="E92" ca="1">IFERROR(INDEX(_xlfn._xlws.FILTER(RawData[Lead Status],RawData[Error Flag]&gt;0),ROWS(E$6:E92)),"")</f>
        <v/>
      </c>
      <c r="F92" t="str" cm="1">
        <f t="array" aca="1" ref="F92" ca="1">IFERROR(INDEX(_xlfn._xlws.FILTER(RawData[Status],RawData[Error Flag]&gt;0),ROWS(F$6:F92)),"")</f>
        <v/>
      </c>
      <c r="G92" s="6" t="str" cm="1">
        <f t="array" aca="1" ref="G92" ca="1">IFERROR(INDEX(_xlfn._xlws.FILTER(RawData[Comments],RawData[Error Flag]&gt;0),ROWS(G$6:G92)),"")</f>
        <v/>
      </c>
      <c r="H92" s="6" t="str" cm="1">
        <f t="array" aca="1" ref="H92" ca="1">IFERROR(INDEX(_xlfn._xlws.FILTER(RawData[Error Type],RawData[Error Flag]&gt;0),ROWS(H$6:H92)),"")</f>
        <v/>
      </c>
      <c r="I92" s="6" t="str" cm="1">
        <f t="array" aca="1" ref="I92" ca="1">IFERROR(INDEX(_xlfn._xlws.FILTER(RawData[Error Details],RawData[Error Flag]&gt;0),ROWS(I$6:I92)),"")</f>
        <v/>
      </c>
      <c r="J92" s="6" t="str" cm="1">
        <f t="array" aca="1" ref="J92" ca="1">IFERROR(INDEX(_xlfn._xlws.FILTER(RawData[Recommended Action],RawData[Error Flag]&gt;0),ROWS(J$6:J92)),"")</f>
        <v/>
      </c>
      <c r="K92" t="str" cm="1">
        <f t="array" aca="1" ref="K92" ca="1">IFERROR(INDEX(_xlfn._xlws.FILTER(RawData[Severity],RawData[Error Flag]&gt;0),ROWS(K$6:K92)),"")</f>
        <v/>
      </c>
      <c r="L92" t="str" cm="1">
        <f t="array" aca="1" ref="L92" ca="1">IFERROR(INDEX(_xlfn._xlws.FILTER(RawData[Audit Status],RawData[Error Flag]&gt;0),ROWS(L$6:L92)),"")</f>
        <v/>
      </c>
    </row>
    <row r="93" spans="1:12" x14ac:dyDescent="0.25">
      <c r="A93" t="str" cm="1">
        <f t="array" aca="1" ref="A93" ca="1">IFERROR(INDEX(_xlfn._xlws.FILTER(RawData[Project Name],RawData[Error Flag]&gt;0),ROWS(A$6:A93)),"")</f>
        <v/>
      </c>
      <c r="B93" s="1" t="str" cm="1">
        <f t="array" aca="1" ref="B93" ca="1">IFERROR(INDEX(_xlfn._xlws.FILTER(RawData[Mobile],RawData[Error Flag]&gt;0),ROWS(B$6:B93)),"")</f>
        <v/>
      </c>
      <c r="C93" t="str" cm="1">
        <f t="array" aca="1" ref="C93" ca="1">IFERROR(INDEX(_xlfn._xlws.FILTER(RawData[Telecaller Name],RawData[Error Flag]&gt;0),ROWS(C$6:C93)),"")</f>
        <v/>
      </c>
      <c r="D93" s="2" t="str" cm="1">
        <f t="array" aca="1" ref="D93" ca="1">IFERROR(INDEX(_xlfn._xlws.FILTER(RawData[Lead Registration Date],RawData[Error Flag]&gt;0),ROWS(D$6:D93)),"")</f>
        <v/>
      </c>
      <c r="E93" t="str" cm="1">
        <f t="array" aca="1" ref="E93" ca="1">IFERROR(INDEX(_xlfn._xlws.FILTER(RawData[Lead Status],RawData[Error Flag]&gt;0),ROWS(E$6:E93)),"")</f>
        <v/>
      </c>
      <c r="F93" t="str" cm="1">
        <f t="array" aca="1" ref="F93" ca="1">IFERROR(INDEX(_xlfn._xlws.FILTER(RawData[Status],RawData[Error Flag]&gt;0),ROWS(F$6:F93)),"")</f>
        <v/>
      </c>
      <c r="G93" s="6" t="str" cm="1">
        <f t="array" aca="1" ref="G93" ca="1">IFERROR(INDEX(_xlfn._xlws.FILTER(RawData[Comments],RawData[Error Flag]&gt;0),ROWS(G$6:G93)),"")</f>
        <v/>
      </c>
      <c r="H93" s="6" t="str" cm="1">
        <f t="array" aca="1" ref="H93" ca="1">IFERROR(INDEX(_xlfn._xlws.FILTER(RawData[Error Type],RawData[Error Flag]&gt;0),ROWS(H$6:H93)),"")</f>
        <v/>
      </c>
      <c r="I93" s="6" t="str" cm="1">
        <f t="array" aca="1" ref="I93" ca="1">IFERROR(INDEX(_xlfn._xlws.FILTER(RawData[Error Details],RawData[Error Flag]&gt;0),ROWS(I$6:I93)),"")</f>
        <v/>
      </c>
      <c r="J93" s="6" t="str" cm="1">
        <f t="array" aca="1" ref="J93" ca="1">IFERROR(INDEX(_xlfn._xlws.FILTER(RawData[Recommended Action],RawData[Error Flag]&gt;0),ROWS(J$6:J93)),"")</f>
        <v/>
      </c>
      <c r="K93" t="str" cm="1">
        <f t="array" aca="1" ref="K93" ca="1">IFERROR(INDEX(_xlfn._xlws.FILTER(RawData[Severity],RawData[Error Flag]&gt;0),ROWS(K$6:K93)),"")</f>
        <v/>
      </c>
      <c r="L93" t="str" cm="1">
        <f t="array" aca="1" ref="L93" ca="1">IFERROR(INDEX(_xlfn._xlws.FILTER(RawData[Audit Status],RawData[Error Flag]&gt;0),ROWS(L$6:L93)),"")</f>
        <v/>
      </c>
    </row>
    <row r="94" spans="1:12" x14ac:dyDescent="0.25">
      <c r="A94" t="str" cm="1">
        <f t="array" aca="1" ref="A94" ca="1">IFERROR(INDEX(_xlfn._xlws.FILTER(RawData[Project Name],RawData[Error Flag]&gt;0),ROWS(A$6:A94)),"")</f>
        <v/>
      </c>
      <c r="B94" s="1" t="str" cm="1">
        <f t="array" aca="1" ref="B94" ca="1">IFERROR(INDEX(_xlfn._xlws.FILTER(RawData[Mobile],RawData[Error Flag]&gt;0),ROWS(B$6:B94)),"")</f>
        <v/>
      </c>
      <c r="C94" t="str" cm="1">
        <f t="array" aca="1" ref="C94" ca="1">IFERROR(INDEX(_xlfn._xlws.FILTER(RawData[Telecaller Name],RawData[Error Flag]&gt;0),ROWS(C$6:C94)),"")</f>
        <v/>
      </c>
      <c r="D94" s="2" t="str" cm="1">
        <f t="array" aca="1" ref="D94" ca="1">IFERROR(INDEX(_xlfn._xlws.FILTER(RawData[Lead Registration Date],RawData[Error Flag]&gt;0),ROWS(D$6:D94)),"")</f>
        <v/>
      </c>
      <c r="E94" t="str" cm="1">
        <f t="array" aca="1" ref="E94" ca="1">IFERROR(INDEX(_xlfn._xlws.FILTER(RawData[Lead Status],RawData[Error Flag]&gt;0),ROWS(E$6:E94)),"")</f>
        <v/>
      </c>
      <c r="F94" t="str" cm="1">
        <f t="array" aca="1" ref="F94" ca="1">IFERROR(INDEX(_xlfn._xlws.FILTER(RawData[Status],RawData[Error Flag]&gt;0),ROWS(F$6:F94)),"")</f>
        <v/>
      </c>
      <c r="G94" s="6" t="str" cm="1">
        <f t="array" aca="1" ref="G94" ca="1">IFERROR(INDEX(_xlfn._xlws.FILTER(RawData[Comments],RawData[Error Flag]&gt;0),ROWS(G$6:G94)),"")</f>
        <v/>
      </c>
      <c r="H94" s="6" t="str" cm="1">
        <f t="array" aca="1" ref="H94" ca="1">IFERROR(INDEX(_xlfn._xlws.FILTER(RawData[Error Type],RawData[Error Flag]&gt;0),ROWS(H$6:H94)),"")</f>
        <v/>
      </c>
      <c r="I94" s="6" t="str" cm="1">
        <f t="array" aca="1" ref="I94" ca="1">IFERROR(INDEX(_xlfn._xlws.FILTER(RawData[Error Details],RawData[Error Flag]&gt;0),ROWS(I$6:I94)),"")</f>
        <v/>
      </c>
      <c r="J94" s="6" t="str" cm="1">
        <f t="array" aca="1" ref="J94" ca="1">IFERROR(INDEX(_xlfn._xlws.FILTER(RawData[Recommended Action],RawData[Error Flag]&gt;0),ROWS(J$6:J94)),"")</f>
        <v/>
      </c>
      <c r="K94" t="str" cm="1">
        <f t="array" aca="1" ref="K94" ca="1">IFERROR(INDEX(_xlfn._xlws.FILTER(RawData[Severity],RawData[Error Flag]&gt;0),ROWS(K$6:K94)),"")</f>
        <v/>
      </c>
      <c r="L94" t="str" cm="1">
        <f t="array" aca="1" ref="L94" ca="1">IFERROR(INDEX(_xlfn._xlws.FILTER(RawData[Audit Status],RawData[Error Flag]&gt;0),ROWS(L$6:L94)),"")</f>
        <v/>
      </c>
    </row>
    <row r="95" spans="1:12" x14ac:dyDescent="0.25">
      <c r="A95" t="str" cm="1">
        <f t="array" aca="1" ref="A95" ca="1">IFERROR(INDEX(_xlfn._xlws.FILTER(RawData[Project Name],RawData[Error Flag]&gt;0),ROWS(A$6:A95)),"")</f>
        <v/>
      </c>
      <c r="B95" s="1" t="str" cm="1">
        <f t="array" aca="1" ref="B95" ca="1">IFERROR(INDEX(_xlfn._xlws.FILTER(RawData[Mobile],RawData[Error Flag]&gt;0),ROWS(B$6:B95)),"")</f>
        <v/>
      </c>
      <c r="C95" t="str" cm="1">
        <f t="array" aca="1" ref="C95" ca="1">IFERROR(INDEX(_xlfn._xlws.FILTER(RawData[Telecaller Name],RawData[Error Flag]&gt;0),ROWS(C$6:C95)),"")</f>
        <v/>
      </c>
      <c r="D95" s="2" t="str" cm="1">
        <f t="array" aca="1" ref="D95" ca="1">IFERROR(INDEX(_xlfn._xlws.FILTER(RawData[Lead Registration Date],RawData[Error Flag]&gt;0),ROWS(D$6:D95)),"")</f>
        <v/>
      </c>
      <c r="E95" t="str" cm="1">
        <f t="array" aca="1" ref="E95" ca="1">IFERROR(INDEX(_xlfn._xlws.FILTER(RawData[Lead Status],RawData[Error Flag]&gt;0),ROWS(E$6:E95)),"")</f>
        <v/>
      </c>
      <c r="F95" t="str" cm="1">
        <f t="array" aca="1" ref="F95" ca="1">IFERROR(INDEX(_xlfn._xlws.FILTER(RawData[Status],RawData[Error Flag]&gt;0),ROWS(F$6:F95)),"")</f>
        <v/>
      </c>
      <c r="G95" s="6" t="str" cm="1">
        <f t="array" aca="1" ref="G95" ca="1">IFERROR(INDEX(_xlfn._xlws.FILTER(RawData[Comments],RawData[Error Flag]&gt;0),ROWS(G$6:G95)),"")</f>
        <v/>
      </c>
      <c r="H95" s="6" t="str" cm="1">
        <f t="array" aca="1" ref="H95" ca="1">IFERROR(INDEX(_xlfn._xlws.FILTER(RawData[Error Type],RawData[Error Flag]&gt;0),ROWS(H$6:H95)),"")</f>
        <v/>
      </c>
      <c r="I95" s="6" t="str" cm="1">
        <f t="array" aca="1" ref="I95" ca="1">IFERROR(INDEX(_xlfn._xlws.FILTER(RawData[Error Details],RawData[Error Flag]&gt;0),ROWS(I$6:I95)),"")</f>
        <v/>
      </c>
      <c r="J95" s="6" t="str" cm="1">
        <f t="array" aca="1" ref="J95" ca="1">IFERROR(INDEX(_xlfn._xlws.FILTER(RawData[Recommended Action],RawData[Error Flag]&gt;0),ROWS(J$6:J95)),"")</f>
        <v/>
      </c>
      <c r="K95" t="str" cm="1">
        <f t="array" aca="1" ref="K95" ca="1">IFERROR(INDEX(_xlfn._xlws.FILTER(RawData[Severity],RawData[Error Flag]&gt;0),ROWS(K$6:K95)),"")</f>
        <v/>
      </c>
      <c r="L95" t="str" cm="1">
        <f t="array" aca="1" ref="L95" ca="1">IFERROR(INDEX(_xlfn._xlws.FILTER(RawData[Audit Status],RawData[Error Flag]&gt;0),ROWS(L$6:L95)),"")</f>
        <v/>
      </c>
    </row>
    <row r="96" spans="1:12" x14ac:dyDescent="0.25">
      <c r="A96" t="str" cm="1">
        <f t="array" aca="1" ref="A96" ca="1">IFERROR(INDEX(_xlfn._xlws.FILTER(RawData[Project Name],RawData[Error Flag]&gt;0),ROWS(A$6:A96)),"")</f>
        <v/>
      </c>
      <c r="B96" s="1" t="str" cm="1">
        <f t="array" aca="1" ref="B96" ca="1">IFERROR(INDEX(_xlfn._xlws.FILTER(RawData[Mobile],RawData[Error Flag]&gt;0),ROWS(B$6:B96)),"")</f>
        <v/>
      </c>
      <c r="C96" t="str" cm="1">
        <f t="array" aca="1" ref="C96" ca="1">IFERROR(INDEX(_xlfn._xlws.FILTER(RawData[Telecaller Name],RawData[Error Flag]&gt;0),ROWS(C$6:C96)),"")</f>
        <v/>
      </c>
      <c r="D96" s="2" t="str" cm="1">
        <f t="array" aca="1" ref="D96" ca="1">IFERROR(INDEX(_xlfn._xlws.FILTER(RawData[Lead Registration Date],RawData[Error Flag]&gt;0),ROWS(D$6:D96)),"")</f>
        <v/>
      </c>
      <c r="E96" t="str" cm="1">
        <f t="array" aca="1" ref="E96" ca="1">IFERROR(INDEX(_xlfn._xlws.FILTER(RawData[Lead Status],RawData[Error Flag]&gt;0),ROWS(E$6:E96)),"")</f>
        <v/>
      </c>
      <c r="F96" t="str" cm="1">
        <f t="array" aca="1" ref="F96" ca="1">IFERROR(INDEX(_xlfn._xlws.FILTER(RawData[Status],RawData[Error Flag]&gt;0),ROWS(F$6:F96)),"")</f>
        <v/>
      </c>
      <c r="G96" s="6" t="str" cm="1">
        <f t="array" aca="1" ref="G96" ca="1">IFERROR(INDEX(_xlfn._xlws.FILTER(RawData[Comments],RawData[Error Flag]&gt;0),ROWS(G$6:G96)),"")</f>
        <v/>
      </c>
      <c r="H96" s="6" t="str" cm="1">
        <f t="array" aca="1" ref="H96" ca="1">IFERROR(INDEX(_xlfn._xlws.FILTER(RawData[Error Type],RawData[Error Flag]&gt;0),ROWS(H$6:H96)),"")</f>
        <v/>
      </c>
      <c r="I96" s="6" t="str" cm="1">
        <f t="array" aca="1" ref="I96" ca="1">IFERROR(INDEX(_xlfn._xlws.FILTER(RawData[Error Details],RawData[Error Flag]&gt;0),ROWS(I$6:I96)),"")</f>
        <v/>
      </c>
      <c r="J96" s="6" t="str" cm="1">
        <f t="array" aca="1" ref="J96" ca="1">IFERROR(INDEX(_xlfn._xlws.FILTER(RawData[Recommended Action],RawData[Error Flag]&gt;0),ROWS(J$6:J96)),"")</f>
        <v/>
      </c>
      <c r="K96" t="str" cm="1">
        <f t="array" aca="1" ref="K96" ca="1">IFERROR(INDEX(_xlfn._xlws.FILTER(RawData[Severity],RawData[Error Flag]&gt;0),ROWS(K$6:K96)),"")</f>
        <v/>
      </c>
      <c r="L96" t="str" cm="1">
        <f t="array" aca="1" ref="L96" ca="1">IFERROR(INDEX(_xlfn._xlws.FILTER(RawData[Audit Status],RawData[Error Flag]&gt;0),ROWS(L$6:L96)),"")</f>
        <v/>
      </c>
    </row>
    <row r="97" spans="1:12" x14ac:dyDescent="0.25">
      <c r="A97" t="str" cm="1">
        <f t="array" aca="1" ref="A97" ca="1">IFERROR(INDEX(_xlfn._xlws.FILTER(RawData[Project Name],RawData[Error Flag]&gt;0),ROWS(A$6:A97)),"")</f>
        <v/>
      </c>
      <c r="B97" s="1" t="str" cm="1">
        <f t="array" aca="1" ref="B97" ca="1">IFERROR(INDEX(_xlfn._xlws.FILTER(RawData[Mobile],RawData[Error Flag]&gt;0),ROWS(B$6:B97)),"")</f>
        <v/>
      </c>
      <c r="C97" t="str" cm="1">
        <f t="array" aca="1" ref="C97" ca="1">IFERROR(INDEX(_xlfn._xlws.FILTER(RawData[Telecaller Name],RawData[Error Flag]&gt;0),ROWS(C$6:C97)),"")</f>
        <v/>
      </c>
      <c r="D97" s="2" t="str" cm="1">
        <f t="array" aca="1" ref="D97" ca="1">IFERROR(INDEX(_xlfn._xlws.FILTER(RawData[Lead Registration Date],RawData[Error Flag]&gt;0),ROWS(D$6:D97)),"")</f>
        <v/>
      </c>
      <c r="E97" t="str" cm="1">
        <f t="array" aca="1" ref="E97" ca="1">IFERROR(INDEX(_xlfn._xlws.FILTER(RawData[Lead Status],RawData[Error Flag]&gt;0),ROWS(E$6:E97)),"")</f>
        <v/>
      </c>
      <c r="F97" t="str" cm="1">
        <f t="array" aca="1" ref="F97" ca="1">IFERROR(INDEX(_xlfn._xlws.FILTER(RawData[Status],RawData[Error Flag]&gt;0),ROWS(F$6:F97)),"")</f>
        <v/>
      </c>
      <c r="G97" s="6" t="str" cm="1">
        <f t="array" aca="1" ref="G97" ca="1">IFERROR(INDEX(_xlfn._xlws.FILTER(RawData[Comments],RawData[Error Flag]&gt;0),ROWS(G$6:G97)),"")</f>
        <v/>
      </c>
      <c r="H97" s="6" t="str" cm="1">
        <f t="array" aca="1" ref="H97" ca="1">IFERROR(INDEX(_xlfn._xlws.FILTER(RawData[Error Type],RawData[Error Flag]&gt;0),ROWS(H$6:H97)),"")</f>
        <v/>
      </c>
      <c r="I97" s="6" t="str" cm="1">
        <f t="array" aca="1" ref="I97" ca="1">IFERROR(INDEX(_xlfn._xlws.FILTER(RawData[Error Details],RawData[Error Flag]&gt;0),ROWS(I$6:I97)),"")</f>
        <v/>
      </c>
      <c r="J97" s="6" t="str" cm="1">
        <f t="array" aca="1" ref="J97" ca="1">IFERROR(INDEX(_xlfn._xlws.FILTER(RawData[Recommended Action],RawData[Error Flag]&gt;0),ROWS(J$6:J97)),"")</f>
        <v/>
      </c>
      <c r="K97" t="str" cm="1">
        <f t="array" aca="1" ref="K97" ca="1">IFERROR(INDEX(_xlfn._xlws.FILTER(RawData[Severity],RawData[Error Flag]&gt;0),ROWS(K$6:K97)),"")</f>
        <v/>
      </c>
      <c r="L97" t="str" cm="1">
        <f t="array" aca="1" ref="L97" ca="1">IFERROR(INDEX(_xlfn._xlws.FILTER(RawData[Audit Status],RawData[Error Flag]&gt;0),ROWS(L$6:L97)),"")</f>
        <v/>
      </c>
    </row>
    <row r="98" spans="1:12" x14ac:dyDescent="0.25">
      <c r="A98" t="str" cm="1">
        <f t="array" aca="1" ref="A98" ca="1">IFERROR(INDEX(_xlfn._xlws.FILTER(RawData[Project Name],RawData[Error Flag]&gt;0),ROWS(A$6:A98)),"")</f>
        <v/>
      </c>
      <c r="B98" s="1" t="str" cm="1">
        <f t="array" aca="1" ref="B98" ca="1">IFERROR(INDEX(_xlfn._xlws.FILTER(RawData[Mobile],RawData[Error Flag]&gt;0),ROWS(B$6:B98)),"")</f>
        <v/>
      </c>
      <c r="C98" t="str" cm="1">
        <f t="array" aca="1" ref="C98" ca="1">IFERROR(INDEX(_xlfn._xlws.FILTER(RawData[Telecaller Name],RawData[Error Flag]&gt;0),ROWS(C$6:C98)),"")</f>
        <v/>
      </c>
      <c r="D98" s="2" t="str" cm="1">
        <f t="array" aca="1" ref="D98" ca="1">IFERROR(INDEX(_xlfn._xlws.FILTER(RawData[Lead Registration Date],RawData[Error Flag]&gt;0),ROWS(D$6:D98)),"")</f>
        <v/>
      </c>
      <c r="E98" t="str" cm="1">
        <f t="array" aca="1" ref="E98" ca="1">IFERROR(INDEX(_xlfn._xlws.FILTER(RawData[Lead Status],RawData[Error Flag]&gt;0),ROWS(E$6:E98)),"")</f>
        <v/>
      </c>
      <c r="F98" t="str" cm="1">
        <f t="array" aca="1" ref="F98" ca="1">IFERROR(INDEX(_xlfn._xlws.FILTER(RawData[Status],RawData[Error Flag]&gt;0),ROWS(F$6:F98)),"")</f>
        <v/>
      </c>
      <c r="G98" s="6" t="str" cm="1">
        <f t="array" aca="1" ref="G98" ca="1">IFERROR(INDEX(_xlfn._xlws.FILTER(RawData[Comments],RawData[Error Flag]&gt;0),ROWS(G$6:G98)),"")</f>
        <v/>
      </c>
      <c r="H98" s="6" t="str" cm="1">
        <f t="array" aca="1" ref="H98" ca="1">IFERROR(INDEX(_xlfn._xlws.FILTER(RawData[Error Type],RawData[Error Flag]&gt;0),ROWS(H$6:H98)),"")</f>
        <v/>
      </c>
      <c r="I98" s="6" t="str" cm="1">
        <f t="array" aca="1" ref="I98" ca="1">IFERROR(INDEX(_xlfn._xlws.FILTER(RawData[Error Details],RawData[Error Flag]&gt;0),ROWS(I$6:I98)),"")</f>
        <v/>
      </c>
      <c r="J98" s="6" t="str" cm="1">
        <f t="array" aca="1" ref="J98" ca="1">IFERROR(INDEX(_xlfn._xlws.FILTER(RawData[Recommended Action],RawData[Error Flag]&gt;0),ROWS(J$6:J98)),"")</f>
        <v/>
      </c>
      <c r="K98" t="str" cm="1">
        <f t="array" aca="1" ref="K98" ca="1">IFERROR(INDEX(_xlfn._xlws.FILTER(RawData[Severity],RawData[Error Flag]&gt;0),ROWS(K$6:K98)),"")</f>
        <v/>
      </c>
      <c r="L98" t="str" cm="1">
        <f t="array" aca="1" ref="L98" ca="1">IFERROR(INDEX(_xlfn._xlws.FILTER(RawData[Audit Status],RawData[Error Flag]&gt;0),ROWS(L$6:L98)),"")</f>
        <v/>
      </c>
    </row>
    <row r="99" spans="1:12" x14ac:dyDescent="0.25">
      <c r="A99" t="str" cm="1">
        <f t="array" aca="1" ref="A99" ca="1">IFERROR(INDEX(_xlfn._xlws.FILTER(RawData[Project Name],RawData[Error Flag]&gt;0),ROWS(A$6:A99)),"")</f>
        <v/>
      </c>
      <c r="B99" s="1" t="str" cm="1">
        <f t="array" aca="1" ref="B99" ca="1">IFERROR(INDEX(_xlfn._xlws.FILTER(RawData[Mobile],RawData[Error Flag]&gt;0),ROWS(B$6:B99)),"")</f>
        <v/>
      </c>
      <c r="C99" t="str" cm="1">
        <f t="array" aca="1" ref="C99" ca="1">IFERROR(INDEX(_xlfn._xlws.FILTER(RawData[Telecaller Name],RawData[Error Flag]&gt;0),ROWS(C$6:C99)),"")</f>
        <v/>
      </c>
      <c r="D99" s="2" t="str" cm="1">
        <f t="array" aca="1" ref="D99" ca="1">IFERROR(INDEX(_xlfn._xlws.FILTER(RawData[Lead Registration Date],RawData[Error Flag]&gt;0),ROWS(D$6:D99)),"")</f>
        <v/>
      </c>
      <c r="E99" t="str" cm="1">
        <f t="array" aca="1" ref="E99" ca="1">IFERROR(INDEX(_xlfn._xlws.FILTER(RawData[Lead Status],RawData[Error Flag]&gt;0),ROWS(E$6:E99)),"")</f>
        <v/>
      </c>
      <c r="F99" t="str" cm="1">
        <f t="array" aca="1" ref="F99" ca="1">IFERROR(INDEX(_xlfn._xlws.FILTER(RawData[Status],RawData[Error Flag]&gt;0),ROWS(F$6:F99)),"")</f>
        <v/>
      </c>
      <c r="G99" s="6" t="str" cm="1">
        <f t="array" aca="1" ref="G99" ca="1">IFERROR(INDEX(_xlfn._xlws.FILTER(RawData[Comments],RawData[Error Flag]&gt;0),ROWS(G$6:G99)),"")</f>
        <v/>
      </c>
      <c r="H99" s="6" t="str" cm="1">
        <f t="array" aca="1" ref="H99" ca="1">IFERROR(INDEX(_xlfn._xlws.FILTER(RawData[Error Type],RawData[Error Flag]&gt;0),ROWS(H$6:H99)),"")</f>
        <v/>
      </c>
      <c r="I99" s="6" t="str" cm="1">
        <f t="array" aca="1" ref="I99" ca="1">IFERROR(INDEX(_xlfn._xlws.FILTER(RawData[Error Details],RawData[Error Flag]&gt;0),ROWS(I$6:I99)),"")</f>
        <v/>
      </c>
      <c r="J99" s="6" t="str" cm="1">
        <f t="array" aca="1" ref="J99" ca="1">IFERROR(INDEX(_xlfn._xlws.FILTER(RawData[Recommended Action],RawData[Error Flag]&gt;0),ROWS(J$6:J99)),"")</f>
        <v/>
      </c>
      <c r="K99" t="str" cm="1">
        <f t="array" aca="1" ref="K99" ca="1">IFERROR(INDEX(_xlfn._xlws.FILTER(RawData[Severity],RawData[Error Flag]&gt;0),ROWS(K$6:K99)),"")</f>
        <v/>
      </c>
      <c r="L99" t="str" cm="1">
        <f t="array" aca="1" ref="L99" ca="1">IFERROR(INDEX(_xlfn._xlws.FILTER(RawData[Audit Status],RawData[Error Flag]&gt;0),ROWS(L$6:L99)),"")</f>
        <v/>
      </c>
    </row>
    <row r="100" spans="1:12" x14ac:dyDescent="0.25">
      <c r="A100" t="str" cm="1">
        <f t="array" aca="1" ref="A100" ca="1">IFERROR(INDEX(_xlfn._xlws.FILTER(RawData[Project Name],RawData[Error Flag]&gt;0),ROWS(A$6:A100)),"")</f>
        <v/>
      </c>
      <c r="B100" s="1" t="str" cm="1">
        <f t="array" aca="1" ref="B100" ca="1">IFERROR(INDEX(_xlfn._xlws.FILTER(RawData[Mobile],RawData[Error Flag]&gt;0),ROWS(B$6:B100)),"")</f>
        <v/>
      </c>
      <c r="C100" t="str" cm="1">
        <f t="array" aca="1" ref="C100" ca="1">IFERROR(INDEX(_xlfn._xlws.FILTER(RawData[Telecaller Name],RawData[Error Flag]&gt;0),ROWS(C$6:C100)),"")</f>
        <v/>
      </c>
      <c r="D100" s="2" t="str" cm="1">
        <f t="array" aca="1" ref="D100" ca="1">IFERROR(INDEX(_xlfn._xlws.FILTER(RawData[Lead Registration Date],RawData[Error Flag]&gt;0),ROWS(D$6:D100)),"")</f>
        <v/>
      </c>
      <c r="E100" t="str" cm="1">
        <f t="array" aca="1" ref="E100" ca="1">IFERROR(INDEX(_xlfn._xlws.FILTER(RawData[Lead Status],RawData[Error Flag]&gt;0),ROWS(E$6:E100)),"")</f>
        <v/>
      </c>
      <c r="F100" t="str" cm="1">
        <f t="array" aca="1" ref="F100" ca="1">IFERROR(INDEX(_xlfn._xlws.FILTER(RawData[Status],RawData[Error Flag]&gt;0),ROWS(F$6:F100)),"")</f>
        <v/>
      </c>
      <c r="G100" s="6" t="str" cm="1">
        <f t="array" aca="1" ref="G100" ca="1">IFERROR(INDEX(_xlfn._xlws.FILTER(RawData[Comments],RawData[Error Flag]&gt;0),ROWS(G$6:G100)),"")</f>
        <v/>
      </c>
      <c r="H100" s="6" t="str" cm="1">
        <f t="array" aca="1" ref="H100" ca="1">IFERROR(INDEX(_xlfn._xlws.FILTER(RawData[Error Type],RawData[Error Flag]&gt;0),ROWS(H$6:H100)),"")</f>
        <v/>
      </c>
      <c r="I100" s="6" t="str" cm="1">
        <f t="array" aca="1" ref="I100" ca="1">IFERROR(INDEX(_xlfn._xlws.FILTER(RawData[Error Details],RawData[Error Flag]&gt;0),ROWS(I$6:I100)),"")</f>
        <v/>
      </c>
      <c r="J100" s="6" t="str" cm="1">
        <f t="array" aca="1" ref="J100" ca="1">IFERROR(INDEX(_xlfn._xlws.FILTER(RawData[Recommended Action],RawData[Error Flag]&gt;0),ROWS(J$6:J100)),"")</f>
        <v/>
      </c>
      <c r="K100" t="str" cm="1">
        <f t="array" aca="1" ref="K100" ca="1">IFERROR(INDEX(_xlfn._xlws.FILTER(RawData[Severity],RawData[Error Flag]&gt;0),ROWS(K$6:K100)),"")</f>
        <v/>
      </c>
      <c r="L100" t="str" cm="1">
        <f t="array" aca="1" ref="L100" ca="1">IFERROR(INDEX(_xlfn._xlws.FILTER(RawData[Audit Status],RawData[Error Flag]&gt;0),ROWS(L$6:L100)),"")</f>
        <v/>
      </c>
    </row>
    <row r="101" spans="1:12" x14ac:dyDescent="0.25">
      <c r="A101" t="str" cm="1">
        <f t="array" aca="1" ref="A101" ca="1">IFERROR(INDEX(_xlfn._xlws.FILTER(RawData[Project Name],RawData[Error Flag]&gt;0),ROWS(A$6:A101)),"")</f>
        <v/>
      </c>
      <c r="B101" s="1" t="str" cm="1">
        <f t="array" aca="1" ref="B101" ca="1">IFERROR(INDEX(_xlfn._xlws.FILTER(RawData[Mobile],RawData[Error Flag]&gt;0),ROWS(B$6:B101)),"")</f>
        <v/>
      </c>
      <c r="C101" t="str" cm="1">
        <f t="array" aca="1" ref="C101" ca="1">IFERROR(INDEX(_xlfn._xlws.FILTER(RawData[Telecaller Name],RawData[Error Flag]&gt;0),ROWS(C$6:C101)),"")</f>
        <v/>
      </c>
      <c r="D101" s="2" t="str" cm="1">
        <f t="array" aca="1" ref="D101" ca="1">IFERROR(INDEX(_xlfn._xlws.FILTER(RawData[Lead Registration Date],RawData[Error Flag]&gt;0),ROWS(D$6:D101)),"")</f>
        <v/>
      </c>
      <c r="E101" t="str" cm="1">
        <f t="array" aca="1" ref="E101" ca="1">IFERROR(INDEX(_xlfn._xlws.FILTER(RawData[Lead Status],RawData[Error Flag]&gt;0),ROWS(E$6:E101)),"")</f>
        <v/>
      </c>
      <c r="F101" t="str" cm="1">
        <f t="array" aca="1" ref="F101" ca="1">IFERROR(INDEX(_xlfn._xlws.FILTER(RawData[Status],RawData[Error Flag]&gt;0),ROWS(F$6:F101)),"")</f>
        <v/>
      </c>
      <c r="G101" s="6" t="str" cm="1">
        <f t="array" aca="1" ref="G101" ca="1">IFERROR(INDEX(_xlfn._xlws.FILTER(RawData[Comments],RawData[Error Flag]&gt;0),ROWS(G$6:G101)),"")</f>
        <v/>
      </c>
      <c r="H101" s="6" t="str" cm="1">
        <f t="array" aca="1" ref="H101" ca="1">IFERROR(INDEX(_xlfn._xlws.FILTER(RawData[Error Type],RawData[Error Flag]&gt;0),ROWS(H$6:H101)),"")</f>
        <v/>
      </c>
      <c r="I101" s="6" t="str" cm="1">
        <f t="array" aca="1" ref="I101" ca="1">IFERROR(INDEX(_xlfn._xlws.FILTER(RawData[Error Details],RawData[Error Flag]&gt;0),ROWS(I$6:I101)),"")</f>
        <v/>
      </c>
      <c r="J101" s="6" t="str" cm="1">
        <f t="array" aca="1" ref="J101" ca="1">IFERROR(INDEX(_xlfn._xlws.FILTER(RawData[Recommended Action],RawData[Error Flag]&gt;0),ROWS(J$6:J101)),"")</f>
        <v/>
      </c>
      <c r="K101" t="str" cm="1">
        <f t="array" aca="1" ref="K101" ca="1">IFERROR(INDEX(_xlfn._xlws.FILTER(RawData[Severity],RawData[Error Flag]&gt;0),ROWS(K$6:K101)),"")</f>
        <v/>
      </c>
      <c r="L101" t="str" cm="1">
        <f t="array" aca="1" ref="L101" ca="1">IFERROR(INDEX(_xlfn._xlws.FILTER(RawData[Audit Status],RawData[Error Flag]&gt;0),ROWS(L$6:L101)),"")</f>
        <v/>
      </c>
    </row>
    <row r="102" spans="1:12" x14ac:dyDescent="0.25">
      <c r="A102" t="str" cm="1">
        <f t="array" aca="1" ref="A102" ca="1">IFERROR(INDEX(_xlfn._xlws.FILTER(RawData[Project Name],RawData[Error Flag]&gt;0),ROWS(A$6:A102)),"")</f>
        <v/>
      </c>
      <c r="B102" s="1" t="str" cm="1">
        <f t="array" aca="1" ref="B102" ca="1">IFERROR(INDEX(_xlfn._xlws.FILTER(RawData[Mobile],RawData[Error Flag]&gt;0),ROWS(B$6:B102)),"")</f>
        <v/>
      </c>
      <c r="C102" t="str" cm="1">
        <f t="array" aca="1" ref="C102" ca="1">IFERROR(INDEX(_xlfn._xlws.FILTER(RawData[Telecaller Name],RawData[Error Flag]&gt;0),ROWS(C$6:C102)),"")</f>
        <v/>
      </c>
      <c r="D102" s="2" t="str" cm="1">
        <f t="array" aca="1" ref="D102" ca="1">IFERROR(INDEX(_xlfn._xlws.FILTER(RawData[Lead Registration Date],RawData[Error Flag]&gt;0),ROWS(D$6:D102)),"")</f>
        <v/>
      </c>
      <c r="E102" t="str" cm="1">
        <f t="array" aca="1" ref="E102" ca="1">IFERROR(INDEX(_xlfn._xlws.FILTER(RawData[Lead Status],RawData[Error Flag]&gt;0),ROWS(E$6:E102)),"")</f>
        <v/>
      </c>
      <c r="F102" t="str" cm="1">
        <f t="array" aca="1" ref="F102" ca="1">IFERROR(INDEX(_xlfn._xlws.FILTER(RawData[Status],RawData[Error Flag]&gt;0),ROWS(F$6:F102)),"")</f>
        <v/>
      </c>
      <c r="G102" s="6" t="str" cm="1">
        <f t="array" aca="1" ref="G102" ca="1">IFERROR(INDEX(_xlfn._xlws.FILTER(RawData[Comments],RawData[Error Flag]&gt;0),ROWS(G$6:G102)),"")</f>
        <v/>
      </c>
      <c r="H102" s="6" t="str" cm="1">
        <f t="array" aca="1" ref="H102" ca="1">IFERROR(INDEX(_xlfn._xlws.FILTER(RawData[Error Type],RawData[Error Flag]&gt;0),ROWS(H$6:H102)),"")</f>
        <v/>
      </c>
      <c r="I102" s="6" t="str" cm="1">
        <f t="array" aca="1" ref="I102" ca="1">IFERROR(INDEX(_xlfn._xlws.FILTER(RawData[Error Details],RawData[Error Flag]&gt;0),ROWS(I$6:I102)),"")</f>
        <v/>
      </c>
      <c r="J102" s="6" t="str" cm="1">
        <f t="array" aca="1" ref="J102" ca="1">IFERROR(INDEX(_xlfn._xlws.FILTER(RawData[Recommended Action],RawData[Error Flag]&gt;0),ROWS(J$6:J102)),"")</f>
        <v/>
      </c>
      <c r="K102" t="str" cm="1">
        <f t="array" aca="1" ref="K102" ca="1">IFERROR(INDEX(_xlfn._xlws.FILTER(RawData[Severity],RawData[Error Flag]&gt;0),ROWS(K$6:K102)),"")</f>
        <v/>
      </c>
      <c r="L102" t="str" cm="1">
        <f t="array" aca="1" ref="L102" ca="1">IFERROR(INDEX(_xlfn._xlws.FILTER(RawData[Audit Status],RawData[Error Flag]&gt;0),ROWS(L$6:L102)),"")</f>
        <v/>
      </c>
    </row>
    <row r="103" spans="1:12" x14ac:dyDescent="0.25">
      <c r="A103" t="str" cm="1">
        <f t="array" aca="1" ref="A103" ca="1">IFERROR(INDEX(_xlfn._xlws.FILTER(RawData[Project Name],RawData[Error Flag]&gt;0),ROWS(A$6:A103)),"")</f>
        <v/>
      </c>
      <c r="B103" s="1" t="str" cm="1">
        <f t="array" aca="1" ref="B103" ca="1">IFERROR(INDEX(_xlfn._xlws.FILTER(RawData[Mobile],RawData[Error Flag]&gt;0),ROWS(B$6:B103)),"")</f>
        <v/>
      </c>
      <c r="C103" t="str" cm="1">
        <f t="array" aca="1" ref="C103" ca="1">IFERROR(INDEX(_xlfn._xlws.FILTER(RawData[Telecaller Name],RawData[Error Flag]&gt;0),ROWS(C$6:C103)),"")</f>
        <v/>
      </c>
      <c r="D103" s="2" t="str" cm="1">
        <f t="array" aca="1" ref="D103" ca="1">IFERROR(INDEX(_xlfn._xlws.FILTER(RawData[Lead Registration Date],RawData[Error Flag]&gt;0),ROWS(D$6:D103)),"")</f>
        <v/>
      </c>
      <c r="E103" t="str" cm="1">
        <f t="array" aca="1" ref="E103" ca="1">IFERROR(INDEX(_xlfn._xlws.FILTER(RawData[Lead Status],RawData[Error Flag]&gt;0),ROWS(E$6:E103)),"")</f>
        <v/>
      </c>
      <c r="F103" t="str" cm="1">
        <f t="array" aca="1" ref="F103" ca="1">IFERROR(INDEX(_xlfn._xlws.FILTER(RawData[Status],RawData[Error Flag]&gt;0),ROWS(F$6:F103)),"")</f>
        <v/>
      </c>
      <c r="G103" s="6" t="str" cm="1">
        <f t="array" aca="1" ref="G103" ca="1">IFERROR(INDEX(_xlfn._xlws.FILTER(RawData[Comments],RawData[Error Flag]&gt;0),ROWS(G$6:G103)),"")</f>
        <v/>
      </c>
      <c r="H103" s="6" t="str" cm="1">
        <f t="array" aca="1" ref="H103" ca="1">IFERROR(INDEX(_xlfn._xlws.FILTER(RawData[Error Type],RawData[Error Flag]&gt;0),ROWS(H$6:H103)),"")</f>
        <v/>
      </c>
      <c r="I103" s="6" t="str" cm="1">
        <f t="array" aca="1" ref="I103" ca="1">IFERROR(INDEX(_xlfn._xlws.FILTER(RawData[Error Details],RawData[Error Flag]&gt;0),ROWS(I$6:I103)),"")</f>
        <v/>
      </c>
      <c r="J103" s="6" t="str" cm="1">
        <f t="array" aca="1" ref="J103" ca="1">IFERROR(INDEX(_xlfn._xlws.FILTER(RawData[Recommended Action],RawData[Error Flag]&gt;0),ROWS(J$6:J103)),"")</f>
        <v/>
      </c>
      <c r="K103" t="str" cm="1">
        <f t="array" aca="1" ref="K103" ca="1">IFERROR(INDEX(_xlfn._xlws.FILTER(RawData[Severity],RawData[Error Flag]&gt;0),ROWS(K$6:K103)),"")</f>
        <v/>
      </c>
      <c r="L103" t="str" cm="1">
        <f t="array" aca="1" ref="L103" ca="1">IFERROR(INDEX(_xlfn._xlws.FILTER(RawData[Audit Status],RawData[Error Flag]&gt;0),ROWS(L$6:L103)),"")</f>
        <v/>
      </c>
    </row>
    <row r="104" spans="1:12" x14ac:dyDescent="0.25">
      <c r="A104" t="str" cm="1">
        <f t="array" aca="1" ref="A104" ca="1">IFERROR(INDEX(_xlfn._xlws.FILTER(RawData[Project Name],RawData[Error Flag]&gt;0),ROWS(A$6:A104)),"")</f>
        <v/>
      </c>
      <c r="B104" s="1" t="str" cm="1">
        <f t="array" aca="1" ref="B104" ca="1">IFERROR(INDEX(_xlfn._xlws.FILTER(RawData[Mobile],RawData[Error Flag]&gt;0),ROWS(B$6:B104)),"")</f>
        <v/>
      </c>
      <c r="C104" t="str" cm="1">
        <f t="array" aca="1" ref="C104" ca="1">IFERROR(INDEX(_xlfn._xlws.FILTER(RawData[Telecaller Name],RawData[Error Flag]&gt;0),ROWS(C$6:C104)),"")</f>
        <v/>
      </c>
      <c r="D104" s="2" t="str" cm="1">
        <f t="array" aca="1" ref="D104" ca="1">IFERROR(INDEX(_xlfn._xlws.FILTER(RawData[Lead Registration Date],RawData[Error Flag]&gt;0),ROWS(D$6:D104)),"")</f>
        <v/>
      </c>
      <c r="E104" t="str" cm="1">
        <f t="array" aca="1" ref="E104" ca="1">IFERROR(INDEX(_xlfn._xlws.FILTER(RawData[Lead Status],RawData[Error Flag]&gt;0),ROWS(E$6:E104)),"")</f>
        <v/>
      </c>
      <c r="F104" t="str" cm="1">
        <f t="array" aca="1" ref="F104" ca="1">IFERROR(INDEX(_xlfn._xlws.FILTER(RawData[Status],RawData[Error Flag]&gt;0),ROWS(F$6:F104)),"")</f>
        <v/>
      </c>
      <c r="G104" s="6" t="str" cm="1">
        <f t="array" aca="1" ref="G104" ca="1">IFERROR(INDEX(_xlfn._xlws.FILTER(RawData[Comments],RawData[Error Flag]&gt;0),ROWS(G$6:G104)),"")</f>
        <v/>
      </c>
      <c r="H104" s="6" t="str" cm="1">
        <f t="array" aca="1" ref="H104" ca="1">IFERROR(INDEX(_xlfn._xlws.FILTER(RawData[Error Type],RawData[Error Flag]&gt;0),ROWS(H$6:H104)),"")</f>
        <v/>
      </c>
      <c r="I104" s="6" t="str" cm="1">
        <f t="array" aca="1" ref="I104" ca="1">IFERROR(INDEX(_xlfn._xlws.FILTER(RawData[Error Details],RawData[Error Flag]&gt;0),ROWS(I$6:I104)),"")</f>
        <v/>
      </c>
      <c r="J104" s="6" t="str" cm="1">
        <f t="array" aca="1" ref="J104" ca="1">IFERROR(INDEX(_xlfn._xlws.FILTER(RawData[Recommended Action],RawData[Error Flag]&gt;0),ROWS(J$6:J104)),"")</f>
        <v/>
      </c>
      <c r="K104" t="str" cm="1">
        <f t="array" aca="1" ref="K104" ca="1">IFERROR(INDEX(_xlfn._xlws.FILTER(RawData[Severity],RawData[Error Flag]&gt;0),ROWS(K$6:K104)),"")</f>
        <v/>
      </c>
      <c r="L104" t="str" cm="1">
        <f t="array" aca="1" ref="L104" ca="1">IFERROR(INDEX(_xlfn._xlws.FILTER(RawData[Audit Status],RawData[Error Flag]&gt;0),ROWS(L$6:L104)),"")</f>
        <v/>
      </c>
    </row>
    <row r="105" spans="1:12" x14ac:dyDescent="0.25">
      <c r="A105" t="str" cm="1">
        <f t="array" aca="1" ref="A105" ca="1">IFERROR(INDEX(_xlfn._xlws.FILTER(RawData[Project Name],RawData[Error Flag]&gt;0),ROWS(A$6:A105)),"")</f>
        <v/>
      </c>
      <c r="B105" s="1" t="str" cm="1">
        <f t="array" aca="1" ref="B105" ca="1">IFERROR(INDEX(_xlfn._xlws.FILTER(RawData[Mobile],RawData[Error Flag]&gt;0),ROWS(B$6:B105)),"")</f>
        <v/>
      </c>
      <c r="C105" t="str" cm="1">
        <f t="array" aca="1" ref="C105" ca="1">IFERROR(INDEX(_xlfn._xlws.FILTER(RawData[Telecaller Name],RawData[Error Flag]&gt;0),ROWS(C$6:C105)),"")</f>
        <v/>
      </c>
      <c r="D105" s="2" t="str" cm="1">
        <f t="array" aca="1" ref="D105" ca="1">IFERROR(INDEX(_xlfn._xlws.FILTER(RawData[Lead Registration Date],RawData[Error Flag]&gt;0),ROWS(D$6:D105)),"")</f>
        <v/>
      </c>
      <c r="E105" t="str" cm="1">
        <f t="array" aca="1" ref="E105" ca="1">IFERROR(INDEX(_xlfn._xlws.FILTER(RawData[Lead Status],RawData[Error Flag]&gt;0),ROWS(E$6:E105)),"")</f>
        <v/>
      </c>
      <c r="F105" t="str" cm="1">
        <f t="array" aca="1" ref="F105" ca="1">IFERROR(INDEX(_xlfn._xlws.FILTER(RawData[Status],RawData[Error Flag]&gt;0),ROWS(F$6:F105)),"")</f>
        <v/>
      </c>
      <c r="G105" s="6" t="str" cm="1">
        <f t="array" aca="1" ref="G105" ca="1">IFERROR(INDEX(_xlfn._xlws.FILTER(RawData[Comments],RawData[Error Flag]&gt;0),ROWS(G$6:G105)),"")</f>
        <v/>
      </c>
      <c r="H105" s="6" t="str" cm="1">
        <f t="array" aca="1" ref="H105" ca="1">IFERROR(INDEX(_xlfn._xlws.FILTER(RawData[Error Type],RawData[Error Flag]&gt;0),ROWS(H$6:H105)),"")</f>
        <v/>
      </c>
      <c r="I105" s="6" t="str" cm="1">
        <f t="array" aca="1" ref="I105" ca="1">IFERROR(INDEX(_xlfn._xlws.FILTER(RawData[Error Details],RawData[Error Flag]&gt;0),ROWS(I$6:I105)),"")</f>
        <v/>
      </c>
      <c r="J105" s="6" t="str" cm="1">
        <f t="array" aca="1" ref="J105" ca="1">IFERROR(INDEX(_xlfn._xlws.FILTER(RawData[Recommended Action],RawData[Error Flag]&gt;0),ROWS(J$6:J105)),"")</f>
        <v/>
      </c>
      <c r="K105" t="str" cm="1">
        <f t="array" aca="1" ref="K105" ca="1">IFERROR(INDEX(_xlfn._xlws.FILTER(RawData[Severity],RawData[Error Flag]&gt;0),ROWS(K$6:K105)),"")</f>
        <v/>
      </c>
      <c r="L105" t="str" cm="1">
        <f t="array" aca="1" ref="L105" ca="1">IFERROR(INDEX(_xlfn._xlws.FILTER(RawData[Audit Status],RawData[Error Flag]&gt;0),ROWS(L$6:L105)),"")</f>
        <v/>
      </c>
    </row>
  </sheetData>
  <mergeCells count="3">
    <mergeCell ref="A1:L1"/>
    <mergeCell ref="A2:L2"/>
    <mergeCell ref="A4:L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d2dc7e-1fa4-4f87-900a-d30cb74b76a3" xsi:nil="true"/>
    <lcf76f155ced4ddcb4097134ff3c332f xmlns="ce37a670-6f75-4f9f-871a-3d72e96965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161E1256DAE04DA17A417B33558407" ma:contentTypeVersion="16" ma:contentTypeDescription="Create a new document." ma:contentTypeScope="" ma:versionID="982dbe795462ec3bbc44727bbfa3e79b">
  <xsd:schema xmlns:xsd="http://www.w3.org/2001/XMLSchema" xmlns:xs="http://www.w3.org/2001/XMLSchema" xmlns:p="http://schemas.microsoft.com/office/2006/metadata/properties" xmlns:ns2="41d2dc7e-1fa4-4f87-900a-d30cb74b76a3" xmlns:ns3="ce37a670-6f75-4f9f-871a-3d72e9696577" targetNamespace="http://schemas.microsoft.com/office/2006/metadata/properties" ma:root="true" ma:fieldsID="17d3f6c657418436d76af10d42045afa" ns2:_="" ns3:_="">
    <xsd:import namespace="41d2dc7e-1fa4-4f87-900a-d30cb74b76a3"/>
    <xsd:import namespace="ce37a670-6f75-4f9f-871a-3d72e969657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2dc7e-1fa4-4f87-900a-d30cb74b76a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178fc51-537c-460d-ab5e-6e49571a0d36}" ma:internalName="TaxCatchAll" ma:showField="CatchAllData" ma:web="41d2dc7e-1fa4-4f87-900a-d30cb74b76a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e37a670-6f75-4f9f-871a-3d72e969657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aab726-dfee-43b6-a6ad-088cfbd704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9D00C5-ACEC-42A8-B0AD-FAF904C1BE77}">
  <ds:schemaRefs>
    <ds:schemaRef ds:uri="http://schemas.microsoft.com/office/2006/metadata/properties"/>
    <ds:schemaRef ds:uri="http://schemas.microsoft.com/office/infopath/2007/PartnerControls"/>
    <ds:schemaRef ds:uri="41d2dc7e-1fa4-4f87-900a-d30cb74b76a3"/>
    <ds:schemaRef ds:uri="ce37a670-6f75-4f9f-871a-3d72e9696577"/>
  </ds:schemaRefs>
</ds:datastoreItem>
</file>

<file path=customXml/itemProps2.xml><?xml version="1.0" encoding="utf-8"?>
<ds:datastoreItem xmlns:ds="http://schemas.openxmlformats.org/officeDocument/2006/customXml" ds:itemID="{A1D6C6EE-3442-4CCC-9F95-544FD1567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2dc7e-1fa4-4f87-900a-d30cb74b76a3"/>
    <ds:schemaRef ds:uri="ce37a670-6f75-4f9f-871a-3d72e96965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FAB1EF-F76E-4956-BE95-A56B957B6C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Raw Data</vt:lpstr>
      <vt:lpstr>Executive Dashboard</vt:lpstr>
      <vt:lpstr>Telecaller Performance</vt:lpstr>
      <vt:lpstr>Graphical Dashboard</vt:lpstr>
      <vt:lpstr>Detailed Error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Prakash Chajer</cp:lastModifiedBy>
  <dcterms:modified xsi:type="dcterms:W3CDTF">2026-08-21T11:33:01Z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0x01010084161E1256DAE04DA17A417B33558407</vt:lpwstr>
  </property>
  <property fmtid="{D5CDD505-2E9C-101B-9397-08002B2CF9AE}" pid="3" name="MediaServiceImageTags">
    <vt:lpwstr/>
  </property>
</Properties>
</file>